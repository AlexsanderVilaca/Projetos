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-15" yWindow="-15" windowWidth="19245" windowHeight="12330"/>
  </bookViews>
  <sheets>
    <sheet name="Menu" sheetId="1" r:id="rId1"/>
    <sheet name="dados" sheetId="2" r:id="rId2"/>
    <sheet name="Data Management" sheetId="3" r:id="rId3"/>
    <sheet name="Plan1" sheetId="4" r:id="rId4"/>
  </sheets>
  <functionGroups/>
  <calcPr calcId="125725"/>
</workbook>
</file>

<file path=xl/calcChain.xml><?xml version="1.0" encoding="utf-8"?>
<calcChain xmlns="http://schemas.openxmlformats.org/spreadsheetml/2006/main">
  <c r="I14" i="3"/>
  <c r="G28"/>
  <c r="G27"/>
  <c r="G26"/>
  <c r="G25"/>
  <c r="G24"/>
  <c r="G23"/>
  <c r="G22"/>
  <c r="G21"/>
  <c r="G20"/>
  <c r="E28"/>
  <c r="E27"/>
  <c r="E26"/>
  <c r="E25"/>
  <c r="E24"/>
  <c r="E23"/>
  <c r="E22"/>
  <c r="E21"/>
  <c r="E20"/>
  <c r="D28"/>
  <c r="D27"/>
  <c r="D26"/>
  <c r="D25"/>
  <c r="D24"/>
  <c r="D23"/>
  <c r="D22"/>
  <c r="C22"/>
  <c r="D21"/>
  <c r="D20"/>
  <c r="C28"/>
  <c r="C27"/>
  <c r="C26"/>
  <c r="C25"/>
  <c r="C24"/>
  <c r="C23"/>
  <c r="C21"/>
  <c r="C20"/>
  <c r="G19"/>
  <c r="E19"/>
  <c r="D19"/>
  <c r="R14" i="1"/>
  <c r="S14" s="1"/>
  <c r="C19" i="3"/>
  <c r="F19" l="1"/>
  <c r="H23"/>
  <c r="H19"/>
  <c r="H27"/>
  <c r="H26"/>
  <c r="H28"/>
  <c r="H22"/>
  <c r="H21"/>
  <c r="H20"/>
  <c r="F27" l="1"/>
  <c r="F21"/>
  <c r="F23"/>
  <c r="F25"/>
  <c r="F24"/>
  <c r="F28"/>
  <c r="F20"/>
  <c r="F26"/>
  <c r="F22"/>
</calcChain>
</file>

<file path=xl/comments1.xml><?xml version="1.0" encoding="utf-8"?>
<comments xmlns="http://schemas.openxmlformats.org/spreadsheetml/2006/main">
  <authors>
    <author>LIBERAÇÃO</author>
  </authors>
  <commentList>
    <comment ref="I7" authorId="0">
      <text>
        <r>
          <rPr>
            <b/>
            <sz val="9"/>
            <color indexed="81"/>
            <rFont val="Tahoma"/>
            <family val="2"/>
          </rPr>
          <t>LIBERAÇÃO:</t>
        </r>
        <r>
          <rPr>
            <sz val="9"/>
            <color indexed="81"/>
            <rFont val="Tahoma"/>
            <family val="2"/>
          </rPr>
          <t xml:space="preserve">
Enter the IP address of the instrument, respecting the points.</t>
        </r>
      </text>
    </comment>
    <comment ref="H18" authorId="0">
      <text>
        <r>
          <rPr>
            <b/>
            <sz val="9"/>
            <color indexed="81"/>
            <rFont val="Tahoma"/>
            <family val="2"/>
          </rPr>
          <t>LIBERAÇÃO:</t>
        </r>
        <r>
          <rPr>
            <sz val="9"/>
            <color indexed="81"/>
            <rFont val="Tahoma"/>
            <family val="2"/>
          </rPr>
          <t xml:space="preserve">
Reads the value displayed on the instrument.</t>
        </r>
      </text>
    </comment>
    <comment ref="H21" authorId="0">
      <text>
        <r>
          <rPr>
            <b/>
            <sz val="9"/>
            <color indexed="81"/>
            <rFont val="Tahoma"/>
            <family val="2"/>
          </rPr>
          <t>LIBERAÇÃO:</t>
        </r>
        <r>
          <rPr>
            <sz val="9"/>
            <color indexed="81"/>
            <rFont val="Tahoma"/>
            <family val="2"/>
          </rPr>
          <t xml:space="preserve">
Reads the value displayed on the instrument.</t>
        </r>
      </text>
    </comment>
    <comment ref="H24" authorId="0">
      <text>
        <r>
          <rPr>
            <b/>
            <sz val="9"/>
            <color indexed="81"/>
            <rFont val="Tahoma"/>
            <family val="2"/>
          </rPr>
          <t xml:space="preserve">LIBERAÇÃO
</t>
        </r>
        <r>
          <rPr>
            <sz val="9"/>
            <color indexed="81"/>
            <rFont val="Tahoma"/>
            <family val="2"/>
          </rPr>
          <t>New value that will be read on the instrument.</t>
        </r>
      </text>
    </comment>
  </commentList>
</comments>
</file>

<file path=xl/sharedStrings.xml><?xml version="1.0" encoding="utf-8"?>
<sst xmlns="http://schemas.openxmlformats.org/spreadsheetml/2006/main" count="48" uniqueCount="45">
  <si>
    <t>PCON COMMANDER</t>
  </si>
  <si>
    <t>This sample demonstrates the use of Excel in conjunction with VBA to create automation worksheets using MCS-XV and remote control mode. If the user wishes, this code can be freely adapted to create their own applications.</t>
  </si>
  <si>
    <t>IP address:</t>
  </si>
  <si>
    <t>CURRENT VALUE</t>
  </si>
  <si>
    <t>NEW VALUE</t>
  </si>
  <si>
    <t>PCON model:</t>
  </si>
  <si>
    <t>b</t>
  </si>
  <si>
    <t>AQUISIÇÃO</t>
  </si>
  <si>
    <t xml:space="preserve">---- </t>
  </si>
  <si>
    <t>CLIENT DATA</t>
  </si>
  <si>
    <t>CLIENT</t>
  </si>
  <si>
    <t>ADRESS</t>
  </si>
  <si>
    <t>INSTRUMENT</t>
  </si>
  <si>
    <t>MODEL</t>
  </si>
  <si>
    <t>S.N.:</t>
  </si>
  <si>
    <t>VERIFICATION DATA</t>
  </si>
  <si>
    <t>VERIFIED BY</t>
  </si>
  <si>
    <t>PROCEDURE INFORMATION</t>
  </si>
  <si>
    <t>AREA</t>
  </si>
  <si>
    <t>ACQUISTION ANALYSIS</t>
  </si>
  <si>
    <t>RANGE</t>
  </si>
  <si>
    <t>DESVPAD</t>
  </si>
  <si>
    <t>MAXIMUM</t>
  </si>
  <si>
    <t>MINIMUM</t>
  </si>
  <si>
    <t>MAXIMUM-MINIMUM/2</t>
  </si>
  <si>
    <t>AVERAGE</t>
  </si>
  <si>
    <t>engineering unit</t>
  </si>
  <si>
    <t>ACQUISITION DATE</t>
  </si>
  <si>
    <t>LIBERATION DATE</t>
  </si>
  <si>
    <t>GRAFIC DATA ANALYSIS</t>
  </si>
  <si>
    <t>PCON COMMANDER: STABILITY ANALYSIS REPORT</t>
  </si>
  <si>
    <t>HIGH</t>
  </si>
  <si>
    <t xml:space="preserve"> 2σ</t>
  </si>
  <si>
    <t>-</t>
  </si>
  <si>
    <t>169.254.180.52</t>
  </si>
  <si>
    <t xml:space="preserve">5_x000D_
OK:NEW PRESSURE VALUE: 5_x000D_
</t>
  </si>
  <si>
    <t>3.92864 psi</t>
  </si>
  <si>
    <t>USER1</t>
  </si>
  <si>
    <t>AREA1</t>
  </si>
  <si>
    <t>INFORMATION</t>
  </si>
  <si>
    <t>AV. LUIZ DA COSTA RAMOS, 260 - SAÚDE, SÃO PAULO/SP</t>
  </si>
  <si>
    <t>000.00.00</t>
  </si>
  <si>
    <t>PCON-KOMP-Y18</t>
  </si>
  <si>
    <t>PCON-Y18-LP-RM-NH-NP-4-E</t>
  </si>
  <si>
    <t>PRESYS INSTRUMENTOS E SISTEMAS</t>
  </si>
</sst>
</file>

<file path=xl/styles.xml><?xml version="1.0" encoding="utf-8"?>
<styleSheet xmlns="http://schemas.openxmlformats.org/spreadsheetml/2006/main">
  <numFmts count="7">
    <numFmt numFmtId="43" formatCode="_-* #,##0.00_-;\-* #,##0.00_-;_-* &quot;-&quot;??_-;_-@_-"/>
    <numFmt numFmtId="164" formatCode="0.0000"/>
    <numFmt numFmtId="165" formatCode="0.00000"/>
    <numFmt numFmtId="166" formatCode="0.000E+00"/>
    <numFmt numFmtId="167" formatCode="#.##0.00"/>
    <numFmt numFmtId="168" formatCode="#.##0"/>
    <numFmt numFmtId="169" formatCode="_-* #,##0.00000_-;\-* #,##0.00000_-;_-* &quot;-&quot;??_-;_-@_-"/>
  </numFmts>
  <fonts count="19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3"/>
      <name val="Arial"/>
      <family val="2"/>
    </font>
    <font>
      <sz val="11"/>
      <name val="Calibri"/>
      <family val="2"/>
      <scheme val="minor"/>
    </font>
    <font>
      <b/>
      <u/>
      <sz val="11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sz val="8"/>
      <name val="Tahoma"/>
      <family val="2"/>
    </font>
    <font>
      <sz val="11"/>
      <color rgb="FF00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dobe Heiti Std R"/>
      <family val="2"/>
      <charset val="128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20"/>
      <color theme="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applyFont="1" applyFill="1" applyBorder="1" applyAlignment="1">
      <alignment vertical="center"/>
    </xf>
    <xf numFmtId="0" fontId="1" fillId="0" borderId="0" xfId="0" applyNumberFormat="1" applyFont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Border="1" applyAlignment="1">
      <alignment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4" fillId="0" borderId="0" xfId="0" applyFont="1" applyFill="1" applyBorder="1" applyAlignment="1">
      <alignment vertical="center"/>
    </xf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center"/>
    </xf>
    <xf numFmtId="165" fontId="0" fillId="0" borderId="0" xfId="0" applyNumberFormat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168" fontId="0" fillId="0" borderId="0" xfId="0" applyNumberFormat="1"/>
    <xf numFmtId="165" fontId="0" fillId="0" borderId="0" xfId="1" applyNumberFormat="1" applyFont="1" applyAlignment="1"/>
    <xf numFmtId="9" fontId="0" fillId="0" borderId="0" xfId="1" applyFont="1"/>
    <xf numFmtId="43" fontId="0" fillId="0" borderId="0" xfId="2" applyFont="1"/>
    <xf numFmtId="169" fontId="0" fillId="0" borderId="0" xfId="2" applyNumberFormat="1" applyFont="1"/>
    <xf numFmtId="0" fontId="16" fillId="0" borderId="0" xfId="0" applyFont="1"/>
    <xf numFmtId="165" fontId="16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66" fontId="1" fillId="0" borderId="0" xfId="0" applyNumberFormat="1" applyFont="1"/>
    <xf numFmtId="166" fontId="1" fillId="0" borderId="0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0" fontId="17" fillId="0" borderId="17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 wrapText="1"/>
    </xf>
    <xf numFmtId="0" fontId="1" fillId="0" borderId="17" xfId="0" applyFont="1" applyBorder="1"/>
    <xf numFmtId="165" fontId="1" fillId="0" borderId="17" xfId="0" applyNumberFormat="1" applyFont="1" applyBorder="1" applyAlignment="1">
      <alignment horizontal="center"/>
    </xf>
    <xf numFmtId="165" fontId="1" fillId="0" borderId="17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7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3" borderId="5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8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7" xfId="0" applyFon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17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/>
    </xf>
    <xf numFmtId="0" fontId="17" fillId="0" borderId="17" xfId="0" applyFont="1" applyBorder="1" applyAlignment="1">
      <alignment horizontal="center" vertical="center" wrapText="1"/>
    </xf>
  </cellXfs>
  <cellStyles count="3">
    <cellStyle name="Normal" xfId="0" builtinId="0"/>
    <cellStyle name="Porcentagem" xfId="1" builtinId="5"/>
    <cellStyle name="Separador de milhares" xfId="2" builtinId="3"/>
  </cellStyles>
  <dxfs count="1">
    <dxf>
      <font>
        <color auto="1"/>
      </font>
      <fill>
        <patternFill>
          <bgColor rgb="FF92D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dados!$B$2:$B$61</c:f>
              <c:numCache>
                <c:formatCode>_-* #,##0.00000_-;\-* #,##0.00000_-;_-* "-"??_-;_-@_-</c:formatCode>
                <c:ptCount val="60"/>
                <c:pt idx="0" formatCode="General">
                  <c:v>3.9287000000000001</c:v>
                </c:pt>
                <c:pt idx="1">
                  <c:v>3.9287000000000001</c:v>
                </c:pt>
                <c:pt idx="2">
                  <c:v>3.9282599999999999</c:v>
                </c:pt>
                <c:pt idx="3">
                  <c:v>3.92848</c:v>
                </c:pt>
                <c:pt idx="4">
                  <c:v>3.92848</c:v>
                </c:pt>
                <c:pt idx="5">
                  <c:v>3.9285800000000002</c:v>
                </c:pt>
                <c:pt idx="6">
                  <c:v>3.9285800000000002</c:v>
                </c:pt>
                <c:pt idx="7">
                  <c:v>3.9285999999999999</c:v>
                </c:pt>
                <c:pt idx="8">
                  <c:v>3.9285999999999999</c:v>
                </c:pt>
                <c:pt idx="9">
                  <c:v>3.92862</c:v>
                </c:pt>
                <c:pt idx="10">
                  <c:v>3.9286500000000002</c:v>
                </c:pt>
                <c:pt idx="11">
                  <c:v>3.92869</c:v>
                </c:pt>
                <c:pt idx="12">
                  <c:v>3.9287200000000002</c:v>
                </c:pt>
                <c:pt idx="13">
                  <c:v>3.9287200000000002</c:v>
                </c:pt>
                <c:pt idx="14">
                  <c:v>3.9286300000000001</c:v>
                </c:pt>
                <c:pt idx="15">
                  <c:v>3.9286300000000001</c:v>
                </c:pt>
                <c:pt idx="16">
                  <c:v>3.9285199999999998</c:v>
                </c:pt>
                <c:pt idx="17">
                  <c:v>3.9285800000000002</c:v>
                </c:pt>
                <c:pt idx="18">
                  <c:v>3.9286699999999999</c:v>
                </c:pt>
                <c:pt idx="19">
                  <c:v>3.9285299999999999</c:v>
                </c:pt>
                <c:pt idx="20">
                  <c:v>3.9287200000000002</c:v>
                </c:pt>
                <c:pt idx="21" formatCode="General">
                  <c:v>3.9287200000000002</c:v>
                </c:pt>
                <c:pt idx="22">
                  <c:v>3.92862</c:v>
                </c:pt>
                <c:pt idx="23">
                  <c:v>3.9285899999999998</c:v>
                </c:pt>
                <c:pt idx="24">
                  <c:v>3.9286300000000001</c:v>
                </c:pt>
                <c:pt idx="25">
                  <c:v>3.9288500000000002</c:v>
                </c:pt>
                <c:pt idx="26">
                  <c:v>3.9288500000000002</c:v>
                </c:pt>
                <c:pt idx="27">
                  <c:v>3.9288599999999998</c:v>
                </c:pt>
                <c:pt idx="28">
                  <c:v>3.9283899999999998</c:v>
                </c:pt>
                <c:pt idx="29">
                  <c:v>3.9285899999999998</c:v>
                </c:pt>
                <c:pt idx="30">
                  <c:v>3.9285800000000002</c:v>
                </c:pt>
                <c:pt idx="31">
                  <c:v>3.9285399999999999</c:v>
                </c:pt>
                <c:pt idx="32">
                  <c:v>3.9285399999999999</c:v>
                </c:pt>
                <c:pt idx="33">
                  <c:v>3.9287800000000002</c:v>
                </c:pt>
                <c:pt idx="34">
                  <c:v>3.9286400000000001</c:v>
                </c:pt>
                <c:pt idx="35">
                  <c:v>3.9286599999999998</c:v>
                </c:pt>
                <c:pt idx="36">
                  <c:v>3.92862</c:v>
                </c:pt>
                <c:pt idx="37">
                  <c:v>3.92862</c:v>
                </c:pt>
                <c:pt idx="38">
                  <c:v>3.95682</c:v>
                </c:pt>
                <c:pt idx="39">
                  <c:v>4.0213299999999998</c:v>
                </c:pt>
                <c:pt idx="40">
                  <c:v>4.0872799999999998</c:v>
                </c:pt>
                <c:pt idx="41">
                  <c:v>4.0872799999999998</c:v>
                </c:pt>
                <c:pt idx="42" formatCode="General">
                  <c:v>4.2185499999999996</c:v>
                </c:pt>
                <c:pt idx="43">
                  <c:v>4.2827700000000002</c:v>
                </c:pt>
                <c:pt idx="44">
                  <c:v>4.2824999999999998</c:v>
                </c:pt>
                <c:pt idx="45">
                  <c:v>4.2827000000000002</c:v>
                </c:pt>
                <c:pt idx="46">
                  <c:v>4.2827000000000002</c:v>
                </c:pt>
                <c:pt idx="47">
                  <c:v>4.2828600000000003</c:v>
                </c:pt>
                <c:pt idx="48">
                  <c:v>4.2826399999999998</c:v>
                </c:pt>
                <c:pt idx="49">
                  <c:v>4.2827200000000003</c:v>
                </c:pt>
                <c:pt idx="50">
                  <c:v>4.2827200000000003</c:v>
                </c:pt>
                <c:pt idx="51">
                  <c:v>4.2860100000000001</c:v>
                </c:pt>
                <c:pt idx="52">
                  <c:v>4.2858799999999997</c:v>
                </c:pt>
                <c:pt idx="53">
                  <c:v>4.2859100000000003</c:v>
                </c:pt>
                <c:pt idx="54">
                  <c:v>4.2859100000000003</c:v>
                </c:pt>
                <c:pt idx="55">
                  <c:v>4.2857200000000004</c:v>
                </c:pt>
                <c:pt idx="56">
                  <c:v>4.2857700000000003</c:v>
                </c:pt>
                <c:pt idx="57">
                  <c:v>4.2858000000000001</c:v>
                </c:pt>
                <c:pt idx="58">
                  <c:v>4.2858000000000001</c:v>
                </c:pt>
                <c:pt idx="59">
                  <c:v>4.2858700000000001</c:v>
                </c:pt>
              </c:numCache>
            </c:numRef>
          </c:yVal>
        </c:ser>
        <c:axId val="106889984"/>
        <c:axId val="106891520"/>
      </c:scatterChart>
      <c:valAx>
        <c:axId val="106889984"/>
        <c:scaling>
          <c:orientation val="minMax"/>
        </c:scaling>
        <c:axPos val="b"/>
        <c:tickLblPos val="nextTo"/>
        <c:crossAx val="106891520"/>
        <c:crosses val="autoZero"/>
        <c:crossBetween val="midCat"/>
      </c:valAx>
      <c:valAx>
        <c:axId val="106891520"/>
        <c:scaling>
          <c:orientation val="minMax"/>
        </c:scaling>
        <c:axPos val="l"/>
        <c:majorGridlines/>
        <c:numFmt formatCode="General" sourceLinked="1"/>
        <c:tickLblPos val="nextTo"/>
        <c:crossAx val="1068899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13" footer="0.3149606200000021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dados!$B$62:$B$121</c:f>
              <c:numCache>
                <c:formatCode>_-* #,##0.00000_-;\-* #,##0.00000_-;_-* "-"??_-;_-@_-</c:formatCode>
                <c:ptCount val="60"/>
                <c:pt idx="0">
                  <c:v>4.2858700000000001</c:v>
                </c:pt>
                <c:pt idx="1">
                  <c:v>4.2859299999999996</c:v>
                </c:pt>
                <c:pt idx="2">
                  <c:v>4.2858799999999997</c:v>
                </c:pt>
                <c:pt idx="3" formatCode="General">
                  <c:v>4.2862099999999996</c:v>
                </c:pt>
                <c:pt idx="4">
                  <c:v>4.2857900000000004</c:v>
                </c:pt>
                <c:pt idx="5">
                  <c:v>4.2857900000000004</c:v>
                </c:pt>
                <c:pt idx="6">
                  <c:v>4.28573</c:v>
                </c:pt>
                <c:pt idx="7">
                  <c:v>4.2858200000000002</c:v>
                </c:pt>
                <c:pt idx="8">
                  <c:v>4.2858700000000001</c:v>
                </c:pt>
                <c:pt idx="9">
                  <c:v>4.2858700000000001</c:v>
                </c:pt>
                <c:pt idx="10">
                  <c:v>4.2858200000000002</c:v>
                </c:pt>
                <c:pt idx="11">
                  <c:v>4.2857000000000003</c:v>
                </c:pt>
                <c:pt idx="12">
                  <c:v>4.2859100000000003</c:v>
                </c:pt>
                <c:pt idx="13">
                  <c:v>4.2859100000000003</c:v>
                </c:pt>
                <c:pt idx="14">
                  <c:v>4.2857399999999997</c:v>
                </c:pt>
                <c:pt idx="15">
                  <c:v>4.2857399999999997</c:v>
                </c:pt>
                <c:pt idx="16">
                  <c:v>4.2856399999999999</c:v>
                </c:pt>
                <c:pt idx="17">
                  <c:v>4.2858099999999997</c:v>
                </c:pt>
                <c:pt idx="18">
                  <c:v>4.2858299999999998</c:v>
                </c:pt>
                <c:pt idx="19">
                  <c:v>4.2857900000000004</c:v>
                </c:pt>
                <c:pt idx="20">
                  <c:v>4.2858700000000001</c:v>
                </c:pt>
                <c:pt idx="21">
                  <c:v>4.2858700000000001</c:v>
                </c:pt>
                <c:pt idx="22">
                  <c:v>4.2858900000000002</c:v>
                </c:pt>
                <c:pt idx="23">
                  <c:v>4.2859100000000003</c:v>
                </c:pt>
                <c:pt idx="24" formatCode="General">
                  <c:v>4.2859100000000003</c:v>
                </c:pt>
                <c:pt idx="25">
                  <c:v>4.2858700000000001</c:v>
                </c:pt>
                <c:pt idx="26">
                  <c:v>4.2858400000000003</c:v>
                </c:pt>
                <c:pt idx="27">
                  <c:v>4.2858400000000003</c:v>
                </c:pt>
                <c:pt idx="28">
                  <c:v>4.2856399999999999</c:v>
                </c:pt>
                <c:pt idx="29">
                  <c:v>4.2856500000000004</c:v>
                </c:pt>
                <c:pt idx="30">
                  <c:v>4.28573</c:v>
                </c:pt>
                <c:pt idx="31">
                  <c:v>4.2858700000000001</c:v>
                </c:pt>
                <c:pt idx="32">
                  <c:v>4.2858700000000001</c:v>
                </c:pt>
                <c:pt idx="33">
                  <c:v>4.28592</c:v>
                </c:pt>
                <c:pt idx="34">
                  <c:v>4.2857599999999998</c:v>
                </c:pt>
                <c:pt idx="35">
                  <c:v>4.2858799999999997</c:v>
                </c:pt>
                <c:pt idx="36">
                  <c:v>4.2858999999999998</c:v>
                </c:pt>
                <c:pt idx="37">
                  <c:v>4.2856699999999996</c:v>
                </c:pt>
                <c:pt idx="38">
                  <c:v>4.2856699999999996</c:v>
                </c:pt>
                <c:pt idx="39">
                  <c:v>4.2859100000000003</c:v>
                </c:pt>
                <c:pt idx="40">
                  <c:v>4.2859100000000003</c:v>
                </c:pt>
                <c:pt idx="41">
                  <c:v>4.2859100000000003</c:v>
                </c:pt>
                <c:pt idx="42">
                  <c:v>4.2858000000000001</c:v>
                </c:pt>
                <c:pt idx="43">
                  <c:v>4.2858000000000001</c:v>
                </c:pt>
                <c:pt idx="44">
                  <c:v>4.2855800000000004</c:v>
                </c:pt>
                <c:pt idx="45" formatCode="General">
                  <c:v>4.28566</c:v>
                </c:pt>
                <c:pt idx="46">
                  <c:v>4.2855699999999999</c:v>
                </c:pt>
                <c:pt idx="47">
                  <c:v>4.2857399999999997</c:v>
                </c:pt>
                <c:pt idx="48">
                  <c:v>4.2856500000000004</c:v>
                </c:pt>
                <c:pt idx="49">
                  <c:v>4.2856500000000004</c:v>
                </c:pt>
                <c:pt idx="50">
                  <c:v>4.2858000000000001</c:v>
                </c:pt>
                <c:pt idx="51">
                  <c:v>4.2858000000000001</c:v>
                </c:pt>
                <c:pt idx="52">
                  <c:v>4.2857599999999998</c:v>
                </c:pt>
                <c:pt idx="53">
                  <c:v>4.2857599999999998</c:v>
                </c:pt>
                <c:pt idx="54">
                  <c:v>4.3557499999999996</c:v>
                </c:pt>
                <c:pt idx="55">
                  <c:v>4.42136</c:v>
                </c:pt>
                <c:pt idx="56">
                  <c:v>4.48726</c:v>
                </c:pt>
                <c:pt idx="57">
                  <c:v>4.6198199999999998</c:v>
                </c:pt>
                <c:pt idx="58">
                  <c:v>4.6401199999999996</c:v>
                </c:pt>
                <c:pt idx="59">
                  <c:v>4.6402799999999997</c:v>
                </c:pt>
              </c:numCache>
            </c:numRef>
          </c:yVal>
        </c:ser>
        <c:axId val="106919424"/>
        <c:axId val="106920960"/>
      </c:scatterChart>
      <c:valAx>
        <c:axId val="106919424"/>
        <c:scaling>
          <c:orientation val="minMax"/>
        </c:scaling>
        <c:axPos val="b"/>
        <c:tickLblPos val="nextTo"/>
        <c:crossAx val="106920960"/>
        <c:crosses val="autoZero"/>
        <c:crossBetween val="midCat"/>
      </c:valAx>
      <c:valAx>
        <c:axId val="106920960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69194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36" footer="0.3149606200000023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dados!$B$122:$B$181</c:f>
              <c:numCache>
                <c:formatCode>_-* #,##0.00000_-;\-* #,##0.00000_-;_-* "-"??_-;_-@_-</c:formatCode>
                <c:ptCount val="60"/>
                <c:pt idx="0">
                  <c:v>4.6402799999999997</c:v>
                </c:pt>
                <c:pt idx="1">
                  <c:v>4.6402799999999997</c:v>
                </c:pt>
                <c:pt idx="2">
                  <c:v>4.6402900000000002</c:v>
                </c:pt>
                <c:pt idx="3">
                  <c:v>4.6402900000000002</c:v>
                </c:pt>
                <c:pt idx="4">
                  <c:v>4.6402799999999997</c:v>
                </c:pt>
                <c:pt idx="5">
                  <c:v>4.6409099999999999</c:v>
                </c:pt>
                <c:pt idx="6" formatCode="General">
                  <c:v>4.64297</c:v>
                </c:pt>
                <c:pt idx="7">
                  <c:v>4.64297</c:v>
                </c:pt>
                <c:pt idx="8">
                  <c:v>4.6428500000000001</c:v>
                </c:pt>
                <c:pt idx="9">
                  <c:v>4.6430699999999998</c:v>
                </c:pt>
                <c:pt idx="10">
                  <c:v>4.6429499999999999</c:v>
                </c:pt>
                <c:pt idx="11">
                  <c:v>4.6428799999999999</c:v>
                </c:pt>
                <c:pt idx="12">
                  <c:v>4.6428799999999999</c:v>
                </c:pt>
                <c:pt idx="13">
                  <c:v>4.6427500000000004</c:v>
                </c:pt>
                <c:pt idx="14">
                  <c:v>4.6427399999999999</c:v>
                </c:pt>
                <c:pt idx="15">
                  <c:v>4.64276</c:v>
                </c:pt>
                <c:pt idx="16">
                  <c:v>4.64283</c:v>
                </c:pt>
                <c:pt idx="17">
                  <c:v>4.6428900000000004</c:v>
                </c:pt>
                <c:pt idx="18">
                  <c:v>4.6428900000000004</c:v>
                </c:pt>
                <c:pt idx="19">
                  <c:v>4.6429299999999998</c:v>
                </c:pt>
                <c:pt idx="20">
                  <c:v>4.6430199999999999</c:v>
                </c:pt>
                <c:pt idx="21">
                  <c:v>4.6429099999999996</c:v>
                </c:pt>
                <c:pt idx="22">
                  <c:v>4.6429099999999996</c:v>
                </c:pt>
                <c:pt idx="23">
                  <c:v>4.6431899999999997</c:v>
                </c:pt>
                <c:pt idx="24">
                  <c:v>4.6431300000000002</c:v>
                </c:pt>
                <c:pt idx="25">
                  <c:v>4.6429299999999998</c:v>
                </c:pt>
                <c:pt idx="26">
                  <c:v>4.6429299999999998</c:v>
                </c:pt>
                <c:pt idx="27" formatCode="General">
                  <c:v>4.6430499999999997</c:v>
                </c:pt>
                <c:pt idx="28">
                  <c:v>4.6430199999999999</c:v>
                </c:pt>
                <c:pt idx="29">
                  <c:v>4.6430199999999999</c:v>
                </c:pt>
                <c:pt idx="30">
                  <c:v>4.6430300000000004</c:v>
                </c:pt>
                <c:pt idx="31">
                  <c:v>4.6428099999999999</c:v>
                </c:pt>
                <c:pt idx="32">
                  <c:v>4.6428200000000004</c:v>
                </c:pt>
                <c:pt idx="33">
                  <c:v>4.6429299999999998</c:v>
                </c:pt>
                <c:pt idx="34">
                  <c:v>4.6428799999999999</c:v>
                </c:pt>
                <c:pt idx="35">
                  <c:v>4.6428799999999999</c:v>
                </c:pt>
                <c:pt idx="36">
                  <c:v>4.6429900000000002</c:v>
                </c:pt>
                <c:pt idx="37">
                  <c:v>4.6428900000000004</c:v>
                </c:pt>
                <c:pt idx="38">
                  <c:v>4.6428900000000004</c:v>
                </c:pt>
                <c:pt idx="39">
                  <c:v>4.6429799999999997</c:v>
                </c:pt>
                <c:pt idx="40">
                  <c:v>4.64297</c:v>
                </c:pt>
                <c:pt idx="41">
                  <c:v>4.64297</c:v>
                </c:pt>
                <c:pt idx="42">
                  <c:v>4.6431500000000003</c:v>
                </c:pt>
                <c:pt idx="43">
                  <c:v>4.6430100000000003</c:v>
                </c:pt>
                <c:pt idx="44">
                  <c:v>4.6427699999999996</c:v>
                </c:pt>
                <c:pt idx="45">
                  <c:v>4.6429799999999997</c:v>
                </c:pt>
                <c:pt idx="46">
                  <c:v>4.6427100000000001</c:v>
                </c:pt>
                <c:pt idx="47">
                  <c:v>4.6427199999999997</c:v>
                </c:pt>
                <c:pt idx="48" formatCode="General">
                  <c:v>4.6427199999999997</c:v>
                </c:pt>
                <c:pt idx="49">
                  <c:v>4.6428099999999999</c:v>
                </c:pt>
                <c:pt idx="50">
                  <c:v>4.6430400000000001</c:v>
                </c:pt>
                <c:pt idx="51">
                  <c:v>4.6428900000000004</c:v>
                </c:pt>
                <c:pt idx="52">
                  <c:v>4.6428900000000004</c:v>
                </c:pt>
                <c:pt idx="53">
                  <c:v>4.6430400000000001</c:v>
                </c:pt>
                <c:pt idx="54">
                  <c:v>4.6430400000000001</c:v>
                </c:pt>
                <c:pt idx="55">
                  <c:v>4.6430499999999997</c:v>
                </c:pt>
                <c:pt idx="56">
                  <c:v>4.6429400000000003</c:v>
                </c:pt>
                <c:pt idx="57">
                  <c:v>4.6429999999999998</c:v>
                </c:pt>
                <c:pt idx="58">
                  <c:v>4.6429999999999998</c:v>
                </c:pt>
                <c:pt idx="59">
                  <c:v>4.6430199999999999</c:v>
                </c:pt>
              </c:numCache>
            </c:numRef>
          </c:yVal>
        </c:ser>
        <c:axId val="107350272"/>
        <c:axId val="107352064"/>
      </c:scatterChart>
      <c:valAx>
        <c:axId val="107350272"/>
        <c:scaling>
          <c:orientation val="minMax"/>
        </c:scaling>
        <c:axPos val="b"/>
        <c:tickLblPos val="nextTo"/>
        <c:crossAx val="107352064"/>
        <c:crosses val="autoZero"/>
        <c:crossBetween val="midCat"/>
      </c:valAx>
      <c:valAx>
        <c:axId val="107352064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73502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dados!$B$182:$B$241</c:f>
              <c:numCache>
                <c:formatCode>_-* #,##0.00000_-;\-* #,##0.00000_-;_-* "-"??_-;_-@_-</c:formatCode>
                <c:ptCount val="60"/>
                <c:pt idx="0">
                  <c:v>4.6431100000000001</c:v>
                </c:pt>
                <c:pt idx="1">
                  <c:v>4.6431100000000001</c:v>
                </c:pt>
                <c:pt idx="2">
                  <c:v>4.6431100000000001</c:v>
                </c:pt>
                <c:pt idx="3">
                  <c:v>4.6428000000000003</c:v>
                </c:pt>
                <c:pt idx="4">
                  <c:v>4.6428399999999996</c:v>
                </c:pt>
                <c:pt idx="5">
                  <c:v>4.6429200000000002</c:v>
                </c:pt>
                <c:pt idx="6">
                  <c:v>4.64297</c:v>
                </c:pt>
                <c:pt idx="7">
                  <c:v>4.7664400000000002</c:v>
                </c:pt>
                <c:pt idx="8">
                  <c:v>4.8294600000000001</c:v>
                </c:pt>
                <c:pt idx="9" formatCode="General">
                  <c:v>4.8964800000000004</c:v>
                </c:pt>
                <c:pt idx="10">
                  <c:v>4.9980500000000001</c:v>
                </c:pt>
                <c:pt idx="11">
                  <c:v>4.9980500000000001</c:v>
                </c:pt>
                <c:pt idx="12">
                  <c:v>4.9980099999999998</c:v>
                </c:pt>
                <c:pt idx="13">
                  <c:v>4.9980099999999998</c:v>
                </c:pt>
                <c:pt idx="14">
                  <c:v>4.9979699999999996</c:v>
                </c:pt>
                <c:pt idx="15">
                  <c:v>4.9980200000000004</c:v>
                </c:pt>
                <c:pt idx="16">
                  <c:v>4.9980200000000004</c:v>
                </c:pt>
                <c:pt idx="17">
                  <c:v>4.9980500000000001</c:v>
                </c:pt>
                <c:pt idx="18">
                  <c:v>4.9980500000000001</c:v>
                </c:pt>
                <c:pt idx="19">
                  <c:v>4.9999700000000002</c:v>
                </c:pt>
                <c:pt idx="20">
                  <c:v>5.0001899999999999</c:v>
                </c:pt>
                <c:pt idx="21">
                  <c:v>5.0001800000000003</c:v>
                </c:pt>
                <c:pt idx="22">
                  <c:v>5.0000499999999999</c:v>
                </c:pt>
                <c:pt idx="23">
                  <c:v>5.0001499999999997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4.9999900000000004</c:v>
                </c:pt>
                <c:pt idx="28">
                  <c:v>5.0001899999999999</c:v>
                </c:pt>
                <c:pt idx="29">
                  <c:v>5.0000499999999999</c:v>
                </c:pt>
                <c:pt idx="30" formatCode="General">
                  <c:v>5.0003399999999996</c:v>
                </c:pt>
                <c:pt idx="31">
                  <c:v>5.0000499999999999</c:v>
                </c:pt>
                <c:pt idx="32">
                  <c:v>5.0000499999999999</c:v>
                </c:pt>
                <c:pt idx="33">
                  <c:v>5.0000900000000001</c:v>
                </c:pt>
                <c:pt idx="34">
                  <c:v>5.0001899999999999</c:v>
                </c:pt>
                <c:pt idx="35">
                  <c:v>5.0001899999999999</c:v>
                </c:pt>
                <c:pt idx="36">
                  <c:v>5.0001300000000004</c:v>
                </c:pt>
                <c:pt idx="37">
                  <c:v>5.0001300000000004</c:v>
                </c:pt>
                <c:pt idx="38">
                  <c:v>5.0001899999999999</c:v>
                </c:pt>
                <c:pt idx="39">
                  <c:v>5.0001899999999999</c:v>
                </c:pt>
                <c:pt idx="40">
                  <c:v>5.00014</c:v>
                </c:pt>
                <c:pt idx="41">
                  <c:v>5.00021</c:v>
                </c:pt>
                <c:pt idx="42">
                  <c:v>5.0001899999999999</c:v>
                </c:pt>
                <c:pt idx="43">
                  <c:v>5.00021</c:v>
                </c:pt>
                <c:pt idx="44">
                  <c:v>5.00021</c:v>
                </c:pt>
                <c:pt idx="45">
                  <c:v>5.0001600000000002</c:v>
                </c:pt>
                <c:pt idx="46">
                  <c:v>5.0000499999999999</c:v>
                </c:pt>
                <c:pt idx="47">
                  <c:v>5.0001499999999997</c:v>
                </c:pt>
                <c:pt idx="48">
                  <c:v>5.00014</c:v>
                </c:pt>
                <c:pt idx="49">
                  <c:v>5.0001499999999997</c:v>
                </c:pt>
                <c:pt idx="50">
                  <c:v>5.0001499999999997</c:v>
                </c:pt>
                <c:pt idx="51" formatCode="General">
                  <c:v>5.0000099999999996</c:v>
                </c:pt>
                <c:pt idx="52">
                  <c:v>4.9999700000000002</c:v>
                </c:pt>
                <c:pt idx="53">
                  <c:v>5.0001199999999999</c:v>
                </c:pt>
                <c:pt idx="54">
                  <c:v>5.0001899999999999</c:v>
                </c:pt>
                <c:pt idx="55">
                  <c:v>4.9998899999999997</c:v>
                </c:pt>
                <c:pt idx="56">
                  <c:v>4.9998899999999997</c:v>
                </c:pt>
                <c:pt idx="57">
                  <c:v>5.00007</c:v>
                </c:pt>
                <c:pt idx="58">
                  <c:v>5.00007</c:v>
                </c:pt>
                <c:pt idx="59">
                  <c:v>4.9999399999999996</c:v>
                </c:pt>
              </c:numCache>
            </c:numRef>
          </c:yVal>
        </c:ser>
        <c:axId val="107359232"/>
        <c:axId val="107381504"/>
      </c:scatterChart>
      <c:valAx>
        <c:axId val="107359232"/>
        <c:scaling>
          <c:orientation val="minMax"/>
        </c:scaling>
        <c:axPos val="b"/>
        <c:tickLblPos val="nextTo"/>
        <c:crossAx val="107381504"/>
        <c:crosses val="autoZero"/>
        <c:crossBetween val="midCat"/>
      </c:valAx>
      <c:valAx>
        <c:axId val="107381504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73592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36" footer="0.3149606200000023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dados!$B$242:$B$301</c:f>
              <c:numCache>
                <c:formatCode>_-* #,##0.00000_-;\-* #,##0.00000_-;_-* "-"??_-;_-@_-</c:formatCode>
                <c:ptCount val="60"/>
                <c:pt idx="0">
                  <c:v>4.9999500000000001</c:v>
                </c:pt>
                <c:pt idx="1">
                  <c:v>4.9999599999999997</c:v>
                </c:pt>
                <c:pt idx="2">
                  <c:v>4.9999900000000004</c:v>
                </c:pt>
                <c:pt idx="3">
                  <c:v>5.0001499999999997</c:v>
                </c:pt>
                <c:pt idx="4">
                  <c:v>5.0001499999999997</c:v>
                </c:pt>
                <c:pt idx="5">
                  <c:v>5.0000600000000004</c:v>
                </c:pt>
                <c:pt idx="6">
                  <c:v>5.0000999999999998</c:v>
                </c:pt>
                <c:pt idx="7">
                  <c:v>5.0001199999999999</c:v>
                </c:pt>
                <c:pt idx="8">
                  <c:v>4.9999200000000004</c:v>
                </c:pt>
                <c:pt idx="9">
                  <c:v>4.9998399999999998</c:v>
                </c:pt>
                <c:pt idx="10">
                  <c:v>4.9998399999999998</c:v>
                </c:pt>
                <c:pt idx="11">
                  <c:v>5</c:v>
                </c:pt>
                <c:pt idx="12">
                  <c:v>5.00014</c:v>
                </c:pt>
                <c:pt idx="13" formatCode="General">
                  <c:v>5.00014</c:v>
                </c:pt>
                <c:pt idx="14">
                  <c:v>5.0000299999999998</c:v>
                </c:pt>
                <c:pt idx="15">
                  <c:v>4.9998699999999996</c:v>
                </c:pt>
                <c:pt idx="16">
                  <c:v>4.9998699999999996</c:v>
                </c:pt>
                <c:pt idx="17">
                  <c:v>5.0000400000000003</c:v>
                </c:pt>
                <c:pt idx="18">
                  <c:v>5.0001100000000003</c:v>
                </c:pt>
                <c:pt idx="19">
                  <c:v>5.0001100000000003</c:v>
                </c:pt>
                <c:pt idx="20">
                  <c:v>4.9184400000000004</c:v>
                </c:pt>
                <c:pt idx="21">
                  <c:v>4.8525600000000004</c:v>
                </c:pt>
                <c:pt idx="22">
                  <c:v>4.7849300000000001</c:v>
                </c:pt>
                <c:pt idx="23">
                  <c:v>4.7187999999999999</c:v>
                </c:pt>
                <c:pt idx="24">
                  <c:v>4.6422999999999996</c:v>
                </c:pt>
                <c:pt idx="25">
                  <c:v>4.6421200000000002</c:v>
                </c:pt>
                <c:pt idx="26">
                  <c:v>4.6423300000000003</c:v>
                </c:pt>
                <c:pt idx="27">
                  <c:v>4.6423300000000003</c:v>
                </c:pt>
                <c:pt idx="28">
                  <c:v>4.64236</c:v>
                </c:pt>
                <c:pt idx="29">
                  <c:v>4.6424399999999997</c:v>
                </c:pt>
                <c:pt idx="30">
                  <c:v>4.6428900000000004</c:v>
                </c:pt>
                <c:pt idx="31">
                  <c:v>4.6429200000000002</c:v>
                </c:pt>
                <c:pt idx="32">
                  <c:v>4.6430100000000003</c:v>
                </c:pt>
                <c:pt idx="33">
                  <c:v>4.6430100000000003</c:v>
                </c:pt>
                <c:pt idx="34" formatCode="General">
                  <c:v>4.6433600000000004</c:v>
                </c:pt>
                <c:pt idx="35">
                  <c:v>4.6428500000000001</c:v>
                </c:pt>
                <c:pt idx="36">
                  <c:v>4.6428500000000001</c:v>
                </c:pt>
                <c:pt idx="37">
                  <c:v>4.6427800000000001</c:v>
                </c:pt>
                <c:pt idx="38">
                  <c:v>4.6429799999999997</c:v>
                </c:pt>
                <c:pt idx="39">
                  <c:v>4.6429099999999996</c:v>
                </c:pt>
                <c:pt idx="40">
                  <c:v>4.6429299999999998</c:v>
                </c:pt>
                <c:pt idx="41">
                  <c:v>4.6429299999999998</c:v>
                </c:pt>
                <c:pt idx="42">
                  <c:v>4.6427699999999996</c:v>
                </c:pt>
                <c:pt idx="43">
                  <c:v>4.6427699999999996</c:v>
                </c:pt>
                <c:pt idx="44">
                  <c:v>4.64316</c:v>
                </c:pt>
                <c:pt idx="45">
                  <c:v>4.6430400000000001</c:v>
                </c:pt>
                <c:pt idx="46">
                  <c:v>4.6430699999999998</c:v>
                </c:pt>
                <c:pt idx="47">
                  <c:v>4.6431100000000001</c:v>
                </c:pt>
                <c:pt idx="48">
                  <c:v>4.6428000000000003</c:v>
                </c:pt>
                <c:pt idx="49">
                  <c:v>4.6428000000000003</c:v>
                </c:pt>
                <c:pt idx="50">
                  <c:v>4.6429499999999999</c:v>
                </c:pt>
                <c:pt idx="51">
                  <c:v>4.6431699999999996</c:v>
                </c:pt>
                <c:pt idx="52">
                  <c:v>4.6431699999999996</c:v>
                </c:pt>
                <c:pt idx="53">
                  <c:v>4.6428000000000003</c:v>
                </c:pt>
                <c:pt idx="54">
                  <c:v>4.6429600000000004</c:v>
                </c:pt>
                <c:pt idx="55" formatCode="General">
                  <c:v>4.6429600000000004</c:v>
                </c:pt>
                <c:pt idx="56">
                  <c:v>4.6430400000000001</c:v>
                </c:pt>
                <c:pt idx="57">
                  <c:v>4.6431300000000002</c:v>
                </c:pt>
                <c:pt idx="58">
                  <c:v>4.6431300000000002</c:v>
                </c:pt>
                <c:pt idx="59">
                  <c:v>4.6430499999999997</c:v>
                </c:pt>
              </c:numCache>
            </c:numRef>
          </c:yVal>
        </c:ser>
        <c:axId val="107409408"/>
        <c:axId val="107410944"/>
      </c:scatterChart>
      <c:valAx>
        <c:axId val="107409408"/>
        <c:scaling>
          <c:orientation val="minMax"/>
        </c:scaling>
        <c:axPos val="b"/>
        <c:tickLblPos val="nextTo"/>
        <c:crossAx val="107410944"/>
        <c:crosses val="autoZero"/>
        <c:crossBetween val="midCat"/>
      </c:valAx>
      <c:valAx>
        <c:axId val="107410944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7409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dados!$B$302:$B$361</c:f>
              <c:numCache>
                <c:formatCode>_-* #,##0.00000_-;\-* #,##0.00000_-;_-* "-"??_-;_-@_-</c:formatCode>
                <c:ptCount val="60"/>
                <c:pt idx="0">
                  <c:v>4.6432099999999998</c:v>
                </c:pt>
                <c:pt idx="1">
                  <c:v>4.6428900000000004</c:v>
                </c:pt>
                <c:pt idx="2">
                  <c:v>4.6428900000000004</c:v>
                </c:pt>
                <c:pt idx="3">
                  <c:v>4.64283</c:v>
                </c:pt>
                <c:pt idx="4">
                  <c:v>4.6427899999999998</c:v>
                </c:pt>
                <c:pt idx="5">
                  <c:v>4.6428399999999996</c:v>
                </c:pt>
                <c:pt idx="6">
                  <c:v>4.6427699999999996</c:v>
                </c:pt>
                <c:pt idx="7">
                  <c:v>4.6427699999999996</c:v>
                </c:pt>
                <c:pt idx="8">
                  <c:v>4.6430800000000003</c:v>
                </c:pt>
                <c:pt idx="9">
                  <c:v>4.64276</c:v>
                </c:pt>
                <c:pt idx="10">
                  <c:v>4.6429900000000002</c:v>
                </c:pt>
                <c:pt idx="11">
                  <c:v>4.6428900000000004</c:v>
                </c:pt>
                <c:pt idx="12">
                  <c:v>4.6430199999999999</c:v>
                </c:pt>
                <c:pt idx="13">
                  <c:v>4.6430199999999999</c:v>
                </c:pt>
                <c:pt idx="14">
                  <c:v>4.6431199999999997</c:v>
                </c:pt>
                <c:pt idx="15">
                  <c:v>4.6430199999999999</c:v>
                </c:pt>
                <c:pt idx="16" formatCode="General">
                  <c:v>4.6429499999999999</c:v>
                </c:pt>
                <c:pt idx="17">
                  <c:v>4.6430300000000004</c:v>
                </c:pt>
                <c:pt idx="18">
                  <c:v>4.6430699999999998</c:v>
                </c:pt>
                <c:pt idx="19">
                  <c:v>4.6431899999999997</c:v>
                </c:pt>
                <c:pt idx="20">
                  <c:v>4.6431899999999997</c:v>
                </c:pt>
                <c:pt idx="21">
                  <c:v>4.6427699999999996</c:v>
                </c:pt>
                <c:pt idx="22">
                  <c:v>4.6427699999999996</c:v>
                </c:pt>
                <c:pt idx="23">
                  <c:v>4.6430800000000003</c:v>
                </c:pt>
                <c:pt idx="24">
                  <c:v>4.6428799999999999</c:v>
                </c:pt>
                <c:pt idx="25">
                  <c:v>4.6429499999999999</c:v>
                </c:pt>
                <c:pt idx="26">
                  <c:v>4.6429999999999998</c:v>
                </c:pt>
                <c:pt idx="27">
                  <c:v>4.64297</c:v>
                </c:pt>
                <c:pt idx="28">
                  <c:v>4.6429099999999996</c:v>
                </c:pt>
                <c:pt idx="29">
                  <c:v>4.6429099999999996</c:v>
                </c:pt>
                <c:pt idx="30">
                  <c:v>4.6429</c:v>
                </c:pt>
                <c:pt idx="31">
                  <c:v>4.6431800000000001</c:v>
                </c:pt>
                <c:pt idx="32">
                  <c:v>4.6430499999999997</c:v>
                </c:pt>
                <c:pt idx="33">
                  <c:v>4.6429999999999998</c:v>
                </c:pt>
                <c:pt idx="34">
                  <c:v>4.6429999999999998</c:v>
                </c:pt>
                <c:pt idx="35">
                  <c:v>4.6428000000000003</c:v>
                </c:pt>
                <c:pt idx="36">
                  <c:v>4.6412399999999998</c:v>
                </c:pt>
                <c:pt idx="37" formatCode="General">
                  <c:v>4.5046400000000002</c:v>
                </c:pt>
                <c:pt idx="38">
                  <c:v>4.4400000000000004</c:v>
                </c:pt>
                <c:pt idx="39">
                  <c:v>4.3726099999999999</c:v>
                </c:pt>
                <c:pt idx="40">
                  <c:v>4.3069300000000004</c:v>
                </c:pt>
                <c:pt idx="41">
                  <c:v>4.2866499999999998</c:v>
                </c:pt>
                <c:pt idx="42">
                  <c:v>4.2866499999999998</c:v>
                </c:pt>
                <c:pt idx="43">
                  <c:v>4.2865099999999998</c:v>
                </c:pt>
                <c:pt idx="44">
                  <c:v>4.2865099999999998</c:v>
                </c:pt>
                <c:pt idx="45">
                  <c:v>4.2865599999999997</c:v>
                </c:pt>
                <c:pt idx="46">
                  <c:v>4.2865900000000003</c:v>
                </c:pt>
                <c:pt idx="47">
                  <c:v>4.2866900000000001</c:v>
                </c:pt>
                <c:pt idx="48">
                  <c:v>4.2866900000000001</c:v>
                </c:pt>
                <c:pt idx="49">
                  <c:v>4.2859600000000002</c:v>
                </c:pt>
                <c:pt idx="50">
                  <c:v>4.2860699999999996</c:v>
                </c:pt>
                <c:pt idx="51">
                  <c:v>4.2859800000000003</c:v>
                </c:pt>
                <c:pt idx="52">
                  <c:v>4.2856399999999999</c:v>
                </c:pt>
                <c:pt idx="53">
                  <c:v>4.2856399999999999</c:v>
                </c:pt>
                <c:pt idx="54">
                  <c:v>4.28573</c:v>
                </c:pt>
                <c:pt idx="55">
                  <c:v>4.2855699999999999</c:v>
                </c:pt>
                <c:pt idx="56">
                  <c:v>4.28552</c:v>
                </c:pt>
                <c:pt idx="57">
                  <c:v>4.2856800000000002</c:v>
                </c:pt>
                <c:pt idx="58" formatCode="General">
                  <c:v>4.2856800000000002</c:v>
                </c:pt>
                <c:pt idx="59">
                  <c:v>4.2856800000000002</c:v>
                </c:pt>
              </c:numCache>
            </c:numRef>
          </c:yVal>
        </c:ser>
        <c:axId val="109458176"/>
        <c:axId val="109459712"/>
      </c:scatterChart>
      <c:valAx>
        <c:axId val="109458176"/>
        <c:scaling>
          <c:orientation val="minMax"/>
        </c:scaling>
        <c:axPos val="b"/>
        <c:tickLblPos val="nextTo"/>
        <c:crossAx val="109459712"/>
        <c:crosses val="autoZero"/>
        <c:crossBetween val="midCat"/>
      </c:valAx>
      <c:valAx>
        <c:axId val="109459712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9458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58" footer="0.3149606200000025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dados!$B$362:$B$421</c:f>
              <c:numCache>
                <c:formatCode>_-* #,##0.00000_-;\-* #,##0.00000_-;_-* "-"??_-;_-@_-</c:formatCode>
                <c:ptCount val="60"/>
                <c:pt idx="0">
                  <c:v>4.2857099999999999</c:v>
                </c:pt>
                <c:pt idx="1">
                  <c:v>4.2858999999999998</c:v>
                </c:pt>
                <c:pt idx="2">
                  <c:v>4.2859600000000002</c:v>
                </c:pt>
                <c:pt idx="3">
                  <c:v>4.2856899999999998</c:v>
                </c:pt>
                <c:pt idx="4">
                  <c:v>4.2857200000000004</c:v>
                </c:pt>
                <c:pt idx="5">
                  <c:v>4.2857099999999999</c:v>
                </c:pt>
                <c:pt idx="6">
                  <c:v>4.2859800000000003</c:v>
                </c:pt>
                <c:pt idx="7">
                  <c:v>4.2859800000000003</c:v>
                </c:pt>
                <c:pt idx="8">
                  <c:v>4.2859800000000003</c:v>
                </c:pt>
                <c:pt idx="9">
                  <c:v>4.2857799999999999</c:v>
                </c:pt>
                <c:pt idx="10">
                  <c:v>4.2858200000000002</c:v>
                </c:pt>
                <c:pt idx="11">
                  <c:v>4.2859400000000001</c:v>
                </c:pt>
                <c:pt idx="12">
                  <c:v>4.2858700000000001</c:v>
                </c:pt>
                <c:pt idx="13">
                  <c:v>4.2858700000000001</c:v>
                </c:pt>
                <c:pt idx="14">
                  <c:v>4.2855600000000003</c:v>
                </c:pt>
                <c:pt idx="15">
                  <c:v>4.2858200000000002</c:v>
                </c:pt>
                <c:pt idx="16">
                  <c:v>4.2858200000000002</c:v>
                </c:pt>
                <c:pt idx="17">
                  <c:v>4.2856100000000001</c:v>
                </c:pt>
                <c:pt idx="18">
                  <c:v>4.2858499999999999</c:v>
                </c:pt>
                <c:pt idx="19">
                  <c:v>4.2857200000000004</c:v>
                </c:pt>
                <c:pt idx="20" formatCode="General">
                  <c:v>4.2856500000000004</c:v>
                </c:pt>
                <c:pt idx="21">
                  <c:v>4.28552</c:v>
                </c:pt>
                <c:pt idx="22">
                  <c:v>4.28552</c:v>
                </c:pt>
                <c:pt idx="23">
                  <c:v>4.28573</c:v>
                </c:pt>
                <c:pt idx="24">
                  <c:v>4.2858099999999997</c:v>
                </c:pt>
                <c:pt idx="25">
                  <c:v>4.2852899999999998</c:v>
                </c:pt>
                <c:pt idx="26">
                  <c:v>4.2855800000000004</c:v>
                </c:pt>
                <c:pt idx="27">
                  <c:v>4.2854900000000002</c:v>
                </c:pt>
                <c:pt idx="28">
                  <c:v>4.2854900000000002</c:v>
                </c:pt>
                <c:pt idx="29">
                  <c:v>4.2858299999999998</c:v>
                </c:pt>
                <c:pt idx="30">
                  <c:v>4.2857200000000004</c:v>
                </c:pt>
                <c:pt idx="31">
                  <c:v>4.28559</c:v>
                </c:pt>
                <c:pt idx="32">
                  <c:v>4.2857000000000003</c:v>
                </c:pt>
                <c:pt idx="33">
                  <c:v>4.2857500000000002</c:v>
                </c:pt>
                <c:pt idx="34">
                  <c:v>4.2858299999999998</c:v>
                </c:pt>
                <c:pt idx="35">
                  <c:v>4.2856300000000003</c:v>
                </c:pt>
                <c:pt idx="36">
                  <c:v>4.28573</c:v>
                </c:pt>
                <c:pt idx="37">
                  <c:v>4.2857700000000003</c:v>
                </c:pt>
                <c:pt idx="38">
                  <c:v>4.2857700000000003</c:v>
                </c:pt>
                <c:pt idx="39">
                  <c:v>4.2859699999999998</c:v>
                </c:pt>
                <c:pt idx="40">
                  <c:v>4.2859299999999996</c:v>
                </c:pt>
                <c:pt idx="41">
                  <c:v>4.2859100000000003</c:v>
                </c:pt>
                <c:pt idx="42" formatCode="General">
                  <c:v>4.28606</c:v>
                </c:pt>
                <c:pt idx="43">
                  <c:v>4.2857599999999998</c:v>
                </c:pt>
                <c:pt idx="44">
                  <c:v>4.2857399999999997</c:v>
                </c:pt>
                <c:pt idx="45">
                  <c:v>4.2857000000000003</c:v>
                </c:pt>
                <c:pt idx="46">
                  <c:v>4.2857000000000003</c:v>
                </c:pt>
                <c:pt idx="47">
                  <c:v>4.2838799999999999</c:v>
                </c:pt>
                <c:pt idx="48">
                  <c:v>4.2178300000000002</c:v>
                </c:pt>
                <c:pt idx="49">
                  <c:v>4.1518199999999998</c:v>
                </c:pt>
                <c:pt idx="50">
                  <c:v>4.0856399999999997</c:v>
                </c:pt>
                <c:pt idx="51">
                  <c:v>3.9527999999999999</c:v>
                </c:pt>
                <c:pt idx="52">
                  <c:v>3.9305500000000002</c:v>
                </c:pt>
                <c:pt idx="53">
                  <c:v>3.9305500000000002</c:v>
                </c:pt>
                <c:pt idx="54">
                  <c:v>3.9307699999999999</c:v>
                </c:pt>
                <c:pt idx="55">
                  <c:v>3.9304399999999999</c:v>
                </c:pt>
                <c:pt idx="56">
                  <c:v>3.9304800000000002</c:v>
                </c:pt>
                <c:pt idx="57">
                  <c:v>3.9306299999999998</c:v>
                </c:pt>
                <c:pt idx="58">
                  <c:v>3.9299599999999999</c:v>
                </c:pt>
                <c:pt idx="59">
                  <c:v>3.9287100000000001</c:v>
                </c:pt>
              </c:numCache>
            </c:numRef>
          </c:yVal>
        </c:ser>
        <c:axId val="109483520"/>
        <c:axId val="109485056"/>
      </c:scatterChart>
      <c:valAx>
        <c:axId val="109483520"/>
        <c:scaling>
          <c:orientation val="minMax"/>
        </c:scaling>
        <c:axPos val="b"/>
        <c:tickLblPos val="nextTo"/>
        <c:crossAx val="109485056"/>
        <c:crosses val="autoZero"/>
        <c:crossBetween val="midCat"/>
      </c:valAx>
      <c:valAx>
        <c:axId val="109485056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94835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36" footer="0.3149606200000023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dados!$B$422:$B$481</c:f>
              <c:numCache>
                <c:formatCode>_-* #,##0.00000_-;\-* #,##0.00000_-;_-* "-"??_-;_-@_-</c:formatCode>
                <c:ptCount val="60"/>
                <c:pt idx="0">
                  <c:v>3.92875</c:v>
                </c:pt>
                <c:pt idx="1">
                  <c:v>3.92875</c:v>
                </c:pt>
                <c:pt idx="2">
                  <c:v>3.9288400000000001</c:v>
                </c:pt>
                <c:pt idx="3">
                  <c:v>3.92876</c:v>
                </c:pt>
                <c:pt idx="4" formatCode="General">
                  <c:v>3.92876</c:v>
                </c:pt>
                <c:pt idx="5">
                  <c:v>3.9285899999999998</c:v>
                </c:pt>
                <c:pt idx="6">
                  <c:v>3.9285700000000001</c:v>
                </c:pt>
                <c:pt idx="7">
                  <c:v>3.9285899999999998</c:v>
                </c:pt>
                <c:pt idx="8">
                  <c:v>3.9284599999999998</c:v>
                </c:pt>
                <c:pt idx="9">
                  <c:v>3.9284599999999998</c:v>
                </c:pt>
                <c:pt idx="10">
                  <c:v>3.9285199999999998</c:v>
                </c:pt>
                <c:pt idx="11">
                  <c:v>3.9287200000000002</c:v>
                </c:pt>
                <c:pt idx="12">
                  <c:v>3.9287200000000002</c:v>
                </c:pt>
                <c:pt idx="13">
                  <c:v>3.9287999999999998</c:v>
                </c:pt>
                <c:pt idx="14">
                  <c:v>3.9286400000000001</c:v>
                </c:pt>
                <c:pt idx="15">
                  <c:v>3.9287399999999999</c:v>
                </c:pt>
                <c:pt idx="16">
                  <c:v>3.9289299999999998</c:v>
                </c:pt>
                <c:pt idx="17">
                  <c:v>3.9286500000000002</c:v>
                </c:pt>
                <c:pt idx="18">
                  <c:v>3.9286500000000002</c:v>
                </c:pt>
                <c:pt idx="19">
                  <c:v>3.9286500000000002</c:v>
                </c:pt>
                <c:pt idx="20">
                  <c:v>3.92875</c:v>
                </c:pt>
                <c:pt idx="21">
                  <c:v>3.9285600000000001</c:v>
                </c:pt>
                <c:pt idx="22">
                  <c:v>3.9287000000000001</c:v>
                </c:pt>
                <c:pt idx="23">
                  <c:v>3.9286400000000001</c:v>
                </c:pt>
                <c:pt idx="24">
                  <c:v>3.9287800000000002</c:v>
                </c:pt>
                <c:pt idx="25">
                  <c:v>3.9285399999999999</c:v>
                </c:pt>
                <c:pt idx="26" formatCode="General">
                  <c:v>3.9285399999999999</c:v>
                </c:pt>
                <c:pt idx="27">
                  <c:v>3.92869</c:v>
                </c:pt>
                <c:pt idx="28">
                  <c:v>3.92869</c:v>
                </c:pt>
                <c:pt idx="29">
                  <c:v>3.92876</c:v>
                </c:pt>
                <c:pt idx="30">
                  <c:v>3.9286599999999998</c:v>
                </c:pt>
                <c:pt idx="31">
                  <c:v>3.9285000000000001</c:v>
                </c:pt>
                <c:pt idx="32">
                  <c:v>3.9287100000000001</c:v>
                </c:pt>
                <c:pt idx="33">
                  <c:v>3.9285299999999999</c:v>
                </c:pt>
                <c:pt idx="34">
                  <c:v>3.9284699999999999</c:v>
                </c:pt>
                <c:pt idx="35">
                  <c:v>3.9284699999999999</c:v>
                </c:pt>
                <c:pt idx="36">
                  <c:v>3.9285700000000001</c:v>
                </c:pt>
                <c:pt idx="37">
                  <c:v>3.9285700000000001</c:v>
                </c:pt>
                <c:pt idx="38">
                  <c:v>3.9286500000000002</c:v>
                </c:pt>
                <c:pt idx="39">
                  <c:v>3.92875</c:v>
                </c:pt>
                <c:pt idx="40">
                  <c:v>3.9287100000000001</c:v>
                </c:pt>
                <c:pt idx="41">
                  <c:v>3.9287800000000002</c:v>
                </c:pt>
                <c:pt idx="42">
                  <c:v>3.92869</c:v>
                </c:pt>
                <c:pt idx="43">
                  <c:v>3.92869</c:v>
                </c:pt>
                <c:pt idx="44">
                  <c:v>3.9285600000000001</c:v>
                </c:pt>
                <c:pt idx="45">
                  <c:v>3.9285600000000001</c:v>
                </c:pt>
                <c:pt idx="46">
                  <c:v>3.9287100000000001</c:v>
                </c:pt>
                <c:pt idx="47">
                  <c:v>3.9287100000000001</c:v>
                </c:pt>
                <c:pt idx="48" formatCode="General">
                  <c:v>3.9285800000000002</c:v>
                </c:pt>
                <c:pt idx="49">
                  <c:v>3.9287700000000001</c:v>
                </c:pt>
                <c:pt idx="50">
                  <c:v>3.9287899999999998</c:v>
                </c:pt>
                <c:pt idx="51">
                  <c:v>3.9286099999999999</c:v>
                </c:pt>
                <c:pt idx="52">
                  <c:v>3.9285999999999999</c:v>
                </c:pt>
                <c:pt idx="53">
                  <c:v>3.9285999999999999</c:v>
                </c:pt>
                <c:pt idx="54">
                  <c:v>3.9285999999999999</c:v>
                </c:pt>
                <c:pt idx="55">
                  <c:v>3.9287700000000001</c:v>
                </c:pt>
                <c:pt idx="56">
                  <c:v>3.9287899999999998</c:v>
                </c:pt>
                <c:pt idx="57">
                  <c:v>3.9287000000000001</c:v>
                </c:pt>
                <c:pt idx="58">
                  <c:v>3.9285600000000001</c:v>
                </c:pt>
                <c:pt idx="59">
                  <c:v>3.9285999999999999</c:v>
                </c:pt>
              </c:numCache>
            </c:numRef>
          </c:yVal>
        </c:ser>
        <c:axId val="109508480"/>
        <c:axId val="109510016"/>
      </c:scatterChart>
      <c:valAx>
        <c:axId val="109508480"/>
        <c:scaling>
          <c:orientation val="minMax"/>
        </c:scaling>
        <c:axPos val="b"/>
        <c:tickLblPos val="nextTo"/>
        <c:crossAx val="109510016"/>
        <c:crosses val="autoZero"/>
        <c:crossBetween val="midCat"/>
      </c:valAx>
      <c:valAx>
        <c:axId val="109510016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9508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dados!$B$482:$B$541</c:f>
              <c:numCache>
                <c:formatCode>_-* #,##0.00000_-;\-* #,##0.00000_-;_-* "-"??_-;_-@_-</c:formatCode>
                <c:ptCount val="60"/>
                <c:pt idx="0">
                  <c:v>3.9285999999999999</c:v>
                </c:pt>
                <c:pt idx="1">
                  <c:v>3.92855</c:v>
                </c:pt>
                <c:pt idx="2">
                  <c:v>3.92855</c:v>
                </c:pt>
                <c:pt idx="3">
                  <c:v>3.8434699999999999</c:v>
                </c:pt>
                <c:pt idx="4">
                  <c:v>3.7780399999999998</c:v>
                </c:pt>
                <c:pt idx="5">
                  <c:v>3.7123300000000001</c:v>
                </c:pt>
                <c:pt idx="6">
                  <c:v>3.6468799999999999</c:v>
                </c:pt>
                <c:pt idx="7">
                  <c:v>3.5746600000000002</c:v>
                </c:pt>
                <c:pt idx="8">
                  <c:v>3.5746899999999999</c:v>
                </c:pt>
                <c:pt idx="9">
                  <c:v>3.5746899999999999</c:v>
                </c:pt>
                <c:pt idx="10" formatCode="General">
                  <c:v>3.5746600000000002</c:v>
                </c:pt>
                <c:pt idx="11">
                  <c:v>3.5746600000000002</c:v>
                </c:pt>
                <c:pt idx="12">
                  <c:v>3.5748099999999998</c:v>
                </c:pt>
                <c:pt idx="13">
                  <c:v>3.5748099999999998</c:v>
                </c:pt>
                <c:pt idx="14">
                  <c:v>3.5720999999999998</c:v>
                </c:pt>
                <c:pt idx="15">
                  <c:v>3.5713200000000001</c:v>
                </c:pt>
                <c:pt idx="16">
                  <c:v>3.5714999999999999</c:v>
                </c:pt>
                <c:pt idx="17">
                  <c:v>3.5714999999999999</c:v>
                </c:pt>
                <c:pt idx="18">
                  <c:v>3.5714199999999998</c:v>
                </c:pt>
                <c:pt idx="19">
                  <c:v>3.5715499999999998</c:v>
                </c:pt>
                <c:pt idx="20">
                  <c:v>3.5715499999999998</c:v>
                </c:pt>
                <c:pt idx="21">
                  <c:v>3.5713499999999998</c:v>
                </c:pt>
                <c:pt idx="22">
                  <c:v>3.5714800000000002</c:v>
                </c:pt>
                <c:pt idx="23">
                  <c:v>3.5715599999999998</c:v>
                </c:pt>
                <c:pt idx="24">
                  <c:v>3.5714999999999999</c:v>
                </c:pt>
                <c:pt idx="25">
                  <c:v>3.57172</c:v>
                </c:pt>
                <c:pt idx="26">
                  <c:v>3.57172</c:v>
                </c:pt>
                <c:pt idx="27">
                  <c:v>3.5713499999999998</c:v>
                </c:pt>
                <c:pt idx="28">
                  <c:v>3.5714999999999999</c:v>
                </c:pt>
                <c:pt idx="29">
                  <c:v>3.5714999999999999</c:v>
                </c:pt>
                <c:pt idx="30">
                  <c:v>3.5714800000000002</c:v>
                </c:pt>
                <c:pt idx="31">
                  <c:v>3.5714999999999999</c:v>
                </c:pt>
                <c:pt idx="32" formatCode="General">
                  <c:v>3.57159</c:v>
                </c:pt>
                <c:pt idx="33">
                  <c:v>3.57158</c:v>
                </c:pt>
                <c:pt idx="34">
                  <c:v>3.57159</c:v>
                </c:pt>
                <c:pt idx="35">
                  <c:v>3.57159</c:v>
                </c:pt>
                <c:pt idx="36">
                  <c:v>3.57151</c:v>
                </c:pt>
                <c:pt idx="37">
                  <c:v>3.5716100000000002</c:v>
                </c:pt>
                <c:pt idx="38">
                  <c:v>3.5716100000000002</c:v>
                </c:pt>
                <c:pt idx="39">
                  <c:v>3.57165</c:v>
                </c:pt>
                <c:pt idx="40">
                  <c:v>3.5712100000000002</c:v>
                </c:pt>
                <c:pt idx="41">
                  <c:v>3.5714700000000001</c:v>
                </c:pt>
                <c:pt idx="42">
                  <c:v>3.5712999999999999</c:v>
                </c:pt>
                <c:pt idx="43">
                  <c:v>3.5712999999999999</c:v>
                </c:pt>
                <c:pt idx="44">
                  <c:v>3.57145</c:v>
                </c:pt>
                <c:pt idx="45">
                  <c:v>3.57145</c:v>
                </c:pt>
                <c:pt idx="46">
                  <c:v>3.57145</c:v>
                </c:pt>
                <c:pt idx="47">
                  <c:v>3.5712600000000001</c:v>
                </c:pt>
                <c:pt idx="48">
                  <c:v>3.57159</c:v>
                </c:pt>
                <c:pt idx="49">
                  <c:v>3.5714899999999998</c:v>
                </c:pt>
                <c:pt idx="50">
                  <c:v>3.5714700000000001</c:v>
                </c:pt>
                <c:pt idx="51">
                  <c:v>3.5714700000000001</c:v>
                </c:pt>
                <c:pt idx="52">
                  <c:v>3.57138</c:v>
                </c:pt>
                <c:pt idx="53">
                  <c:v>3.5713400000000002</c:v>
                </c:pt>
                <c:pt idx="54" formatCode="General">
                  <c:v>3.5713400000000002</c:v>
                </c:pt>
                <c:pt idx="55">
                  <c:v>3.5714100000000002</c:v>
                </c:pt>
                <c:pt idx="56">
                  <c:v>3.5714800000000002</c:v>
                </c:pt>
                <c:pt idx="57">
                  <c:v>3.57158</c:v>
                </c:pt>
                <c:pt idx="58">
                  <c:v>3.57158</c:v>
                </c:pt>
                <c:pt idx="59">
                  <c:v>3.57159</c:v>
                </c:pt>
              </c:numCache>
            </c:numRef>
          </c:yVal>
        </c:ser>
        <c:axId val="109591168"/>
        <c:axId val="109597056"/>
      </c:scatterChart>
      <c:valAx>
        <c:axId val="109591168"/>
        <c:scaling>
          <c:orientation val="minMax"/>
        </c:scaling>
        <c:axPos val="b"/>
        <c:tickLblPos val="nextTo"/>
        <c:crossAx val="109597056"/>
        <c:crosses val="autoZero"/>
        <c:crossBetween val="midCat"/>
      </c:valAx>
      <c:valAx>
        <c:axId val="109597056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9591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58" footer="0.3149606200000025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yVal>
            <c:numRef>
              <c:f>dados!$B$542:$B$601</c:f>
              <c:numCache>
                <c:formatCode>_-* #,##0.00000_-;\-* #,##0.00000_-;_-* "-"??_-;_-@_-</c:formatCode>
                <c:ptCount val="60"/>
                <c:pt idx="0">
                  <c:v>3.5715699999999999</c:v>
                </c:pt>
                <c:pt idx="1">
                  <c:v>3.57145</c:v>
                </c:pt>
                <c:pt idx="2">
                  <c:v>3.5715699999999999</c:v>
                </c:pt>
                <c:pt idx="3">
                  <c:v>3.5715400000000002</c:v>
                </c:pt>
                <c:pt idx="4">
                  <c:v>3.5713599999999999</c:v>
                </c:pt>
                <c:pt idx="5">
                  <c:v>3.5713599999999999</c:v>
                </c:pt>
                <c:pt idx="6">
                  <c:v>3.57151</c:v>
                </c:pt>
                <c:pt idx="7">
                  <c:v>3.5717400000000001</c:v>
                </c:pt>
                <c:pt idx="8">
                  <c:v>3.5716600000000001</c:v>
                </c:pt>
                <c:pt idx="9">
                  <c:v>3.5716700000000001</c:v>
                </c:pt>
                <c:pt idx="10">
                  <c:v>3.5716600000000001</c:v>
                </c:pt>
                <c:pt idx="11">
                  <c:v>3.5716999999999999</c:v>
                </c:pt>
                <c:pt idx="12">
                  <c:v>3.57159</c:v>
                </c:pt>
                <c:pt idx="13">
                  <c:v>3.5713599999999999</c:v>
                </c:pt>
                <c:pt idx="14">
                  <c:v>3.5713599999999999</c:v>
                </c:pt>
                <c:pt idx="15">
                  <c:v>3.5714999999999999</c:v>
                </c:pt>
                <c:pt idx="16" formatCode="General">
                  <c:v>3.5714700000000001</c:v>
                </c:pt>
                <c:pt idx="17">
                  <c:v>3.44136</c:v>
                </c:pt>
                <c:pt idx="18">
                  <c:v>3.44136</c:v>
                </c:pt>
                <c:pt idx="19">
                  <c:v>3.3757999999999999</c:v>
                </c:pt>
                <c:pt idx="20">
                  <c:v>3.3106900000000001</c:v>
                </c:pt>
                <c:pt idx="21">
                  <c:v>3.3106900000000001</c:v>
                </c:pt>
                <c:pt idx="22">
                  <c:v>3.21827</c:v>
                </c:pt>
                <c:pt idx="23">
                  <c:v>3.2185800000000002</c:v>
                </c:pt>
                <c:pt idx="24">
                  <c:v>3.2184300000000001</c:v>
                </c:pt>
                <c:pt idx="25">
                  <c:v>3.2186300000000001</c:v>
                </c:pt>
                <c:pt idx="26">
                  <c:v>3.2184599999999999</c:v>
                </c:pt>
                <c:pt idx="27">
                  <c:v>3.2184599999999999</c:v>
                </c:pt>
                <c:pt idx="28">
                  <c:v>3.2184599999999999</c:v>
                </c:pt>
                <c:pt idx="29">
                  <c:v>3.2184599999999999</c:v>
                </c:pt>
                <c:pt idx="30">
                  <c:v>3.21841</c:v>
                </c:pt>
                <c:pt idx="31">
                  <c:v>3.2141999999999999</c:v>
                </c:pt>
                <c:pt idx="32">
                  <c:v>3.21427</c:v>
                </c:pt>
                <c:pt idx="33">
                  <c:v>3.2141500000000001</c:v>
                </c:pt>
                <c:pt idx="34">
                  <c:v>3.21435</c:v>
                </c:pt>
                <c:pt idx="35">
                  <c:v>3.2143099999999998</c:v>
                </c:pt>
                <c:pt idx="36">
                  <c:v>3.2143099999999998</c:v>
                </c:pt>
                <c:pt idx="37">
                  <c:v>3.2143099999999998</c:v>
                </c:pt>
                <c:pt idx="38" formatCode="General">
                  <c:v>3.2145100000000002</c:v>
                </c:pt>
                <c:pt idx="39">
                  <c:v>3.2144900000000001</c:v>
                </c:pt>
                <c:pt idx="40">
                  <c:v>3.2144300000000001</c:v>
                </c:pt>
                <c:pt idx="41">
                  <c:v>3.2145199999999998</c:v>
                </c:pt>
                <c:pt idx="42">
                  <c:v>3.2145199999999998</c:v>
                </c:pt>
                <c:pt idx="43">
                  <c:v>3.2144900000000001</c:v>
                </c:pt>
                <c:pt idx="44">
                  <c:v>3.2144900000000001</c:v>
                </c:pt>
                <c:pt idx="45">
                  <c:v>3.21428</c:v>
                </c:pt>
                <c:pt idx="46">
                  <c:v>3.21428</c:v>
                </c:pt>
                <c:pt idx="47">
                  <c:v>3.2144400000000002</c:v>
                </c:pt>
                <c:pt idx="48">
                  <c:v>3.2144200000000001</c:v>
                </c:pt>
                <c:pt idx="49">
                  <c:v>3.2142900000000001</c:v>
                </c:pt>
                <c:pt idx="50">
                  <c:v>3.2142900000000001</c:v>
                </c:pt>
                <c:pt idx="51">
                  <c:v>3.21441</c:v>
                </c:pt>
                <c:pt idx="52">
                  <c:v>3.2144499999999998</c:v>
                </c:pt>
                <c:pt idx="53">
                  <c:v>3.2143299999999999</c:v>
                </c:pt>
                <c:pt idx="54">
                  <c:v>3.2143600000000001</c:v>
                </c:pt>
                <c:pt idx="55">
                  <c:v>3.2143600000000001</c:v>
                </c:pt>
                <c:pt idx="56">
                  <c:v>3.2144900000000001</c:v>
                </c:pt>
              </c:numCache>
            </c:numRef>
          </c:yVal>
        </c:ser>
        <c:axId val="109632896"/>
        <c:axId val="139986048"/>
      </c:scatterChart>
      <c:valAx>
        <c:axId val="109632896"/>
        <c:scaling>
          <c:orientation val="minMax"/>
        </c:scaling>
        <c:axPos val="b"/>
        <c:tickLblPos val="nextTo"/>
        <c:crossAx val="139986048"/>
        <c:crosses val="autoZero"/>
        <c:crossBetween val="midCat"/>
      </c:valAx>
      <c:valAx>
        <c:axId val="139986048"/>
        <c:scaling>
          <c:orientation val="minMax"/>
        </c:scaling>
        <c:axPos val="l"/>
        <c:majorGridlines/>
        <c:numFmt formatCode="_-* #,##0.00000_-;\-* #,##0.00000_-;_-* &quot;-&quot;??_-;_-@_-" sourceLinked="1"/>
        <c:tickLblPos val="nextTo"/>
        <c:crossAx val="1096328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236" footer="0.3149606200000023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330475</xdr:colOff>
      <xdr:row>16</xdr:row>
      <xdr:rowOff>154472</xdr:rowOff>
    </xdr:from>
    <xdr:to>
      <xdr:col>16</xdr:col>
      <xdr:colOff>438978</xdr:colOff>
      <xdr:row>19</xdr:row>
      <xdr:rowOff>16566</xdr:rowOff>
    </xdr:to>
    <xdr:sp macro="[0]!BotãoPara" textlink="">
      <xdr:nvSpPr>
        <xdr:cNvPr id="2" name="Retângulo 1"/>
        <xdr:cNvSpPr/>
      </xdr:nvSpPr>
      <xdr:spPr>
        <a:xfrm>
          <a:off x="8911258" y="3243885"/>
          <a:ext cx="1102416" cy="45015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8282</xdr:colOff>
      <xdr:row>19</xdr:row>
      <xdr:rowOff>182218</xdr:rowOff>
    </xdr:from>
    <xdr:to>
      <xdr:col>16</xdr:col>
      <xdr:colOff>447261</xdr:colOff>
      <xdr:row>21</xdr:row>
      <xdr:rowOff>49696</xdr:rowOff>
    </xdr:to>
    <xdr:sp macro="" textlink="">
      <xdr:nvSpPr>
        <xdr:cNvPr id="4" name="CaixaDeTexto 3"/>
        <xdr:cNvSpPr txBox="1"/>
      </xdr:nvSpPr>
      <xdr:spPr>
        <a:xfrm>
          <a:off x="8970065" y="3859696"/>
          <a:ext cx="1051892" cy="2567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/>
            <a:t>Stop couting </a:t>
          </a:r>
        </a:p>
      </xdr:txBody>
    </xdr:sp>
    <xdr:clientData/>
  </xdr:twoCellAnchor>
  <xdr:twoCellAnchor>
    <xdr:from>
      <xdr:col>16</xdr:col>
      <xdr:colOff>256759</xdr:colOff>
      <xdr:row>19</xdr:row>
      <xdr:rowOff>173931</xdr:rowOff>
    </xdr:from>
    <xdr:to>
      <xdr:col>16</xdr:col>
      <xdr:colOff>380996</xdr:colOff>
      <xdr:row>21</xdr:row>
      <xdr:rowOff>41411</xdr:rowOff>
    </xdr:to>
    <xdr:sp macro="" textlink="">
      <xdr:nvSpPr>
        <xdr:cNvPr id="5" name="Seta para baixo 4"/>
        <xdr:cNvSpPr/>
      </xdr:nvSpPr>
      <xdr:spPr>
        <a:xfrm rot="10800000">
          <a:off x="9831455" y="3851409"/>
          <a:ext cx="124237" cy="256763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1</xdr:col>
      <xdr:colOff>397566</xdr:colOff>
      <xdr:row>0</xdr:row>
      <xdr:rowOff>60660</xdr:rowOff>
    </xdr:from>
    <xdr:to>
      <xdr:col>5</xdr:col>
      <xdr:colOff>248480</xdr:colOff>
      <xdr:row>2</xdr:row>
      <xdr:rowOff>165652</xdr:rowOff>
    </xdr:to>
    <xdr:pic>
      <xdr:nvPicPr>
        <xdr:cNvPr id="6" name="Imagem 5" descr="LOGO_P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10479" y="60660"/>
          <a:ext cx="2302566" cy="4859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50</xdr:row>
      <xdr:rowOff>180975</xdr:rowOff>
    </xdr:from>
    <xdr:to>
      <xdr:col>7</xdr:col>
      <xdr:colOff>0</xdr:colOff>
      <xdr:row>65</xdr:row>
      <xdr:rowOff>23475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66</xdr:row>
      <xdr:rowOff>180974</xdr:rowOff>
    </xdr:from>
    <xdr:to>
      <xdr:col>7</xdr:col>
      <xdr:colOff>0</xdr:colOff>
      <xdr:row>81</xdr:row>
      <xdr:rowOff>23474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82</xdr:row>
      <xdr:rowOff>180975</xdr:rowOff>
    </xdr:from>
    <xdr:to>
      <xdr:col>7</xdr:col>
      <xdr:colOff>0</xdr:colOff>
      <xdr:row>97</xdr:row>
      <xdr:rowOff>23475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171450</xdr:rowOff>
    </xdr:from>
    <xdr:to>
      <xdr:col>7</xdr:col>
      <xdr:colOff>0</xdr:colOff>
      <xdr:row>115</xdr:row>
      <xdr:rowOff>13950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116</xdr:row>
      <xdr:rowOff>180974</xdr:rowOff>
    </xdr:from>
    <xdr:to>
      <xdr:col>7</xdr:col>
      <xdr:colOff>0</xdr:colOff>
      <xdr:row>131</xdr:row>
      <xdr:rowOff>23474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132</xdr:row>
      <xdr:rowOff>180975</xdr:rowOff>
    </xdr:from>
    <xdr:to>
      <xdr:col>7</xdr:col>
      <xdr:colOff>0</xdr:colOff>
      <xdr:row>147</xdr:row>
      <xdr:rowOff>23475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150</xdr:row>
      <xdr:rowOff>171450</xdr:rowOff>
    </xdr:from>
    <xdr:to>
      <xdr:col>7</xdr:col>
      <xdr:colOff>0</xdr:colOff>
      <xdr:row>165</xdr:row>
      <xdr:rowOff>13950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166</xdr:row>
      <xdr:rowOff>180974</xdr:rowOff>
    </xdr:from>
    <xdr:to>
      <xdr:col>7</xdr:col>
      <xdr:colOff>0</xdr:colOff>
      <xdr:row>181</xdr:row>
      <xdr:rowOff>23474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182</xdr:row>
      <xdr:rowOff>180975</xdr:rowOff>
    </xdr:from>
    <xdr:to>
      <xdr:col>7</xdr:col>
      <xdr:colOff>0</xdr:colOff>
      <xdr:row>197</xdr:row>
      <xdr:rowOff>23475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200</xdr:row>
      <xdr:rowOff>171450</xdr:rowOff>
    </xdr:from>
    <xdr:to>
      <xdr:col>7</xdr:col>
      <xdr:colOff>0</xdr:colOff>
      <xdr:row>215</xdr:row>
      <xdr:rowOff>13950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51</xdr:row>
      <xdr:rowOff>1</xdr:rowOff>
    </xdr:from>
    <xdr:to>
      <xdr:col>7</xdr:col>
      <xdr:colOff>240631</xdr:colOff>
      <xdr:row>65</xdr:row>
      <xdr:rowOff>23813</xdr:rowOff>
    </xdr:to>
    <xdr:sp macro="" textlink="">
      <xdr:nvSpPr>
        <xdr:cNvPr id="16" name="CaixaDeTexto 15"/>
        <xdr:cNvSpPr txBox="1"/>
      </xdr:nvSpPr>
      <xdr:spPr>
        <a:xfrm>
          <a:off x="5857875" y="10140724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</a:t>
          </a:r>
          <a:r>
            <a:rPr lang="pt-BR" sz="1100" b="1" baseline="0"/>
            <a:t> bar</a:t>
          </a:r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7</xdr:col>
      <xdr:colOff>240631</xdr:colOff>
      <xdr:row>81</xdr:row>
      <xdr:rowOff>23812</xdr:rowOff>
    </xdr:to>
    <xdr:sp macro="" textlink="">
      <xdr:nvSpPr>
        <xdr:cNvPr id="19" name="CaixaDeTexto 18"/>
        <xdr:cNvSpPr txBox="1"/>
      </xdr:nvSpPr>
      <xdr:spPr>
        <a:xfrm>
          <a:off x="5859517" y="13190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7</xdr:col>
      <xdr:colOff>240631</xdr:colOff>
      <xdr:row>97</xdr:row>
      <xdr:rowOff>23812</xdr:rowOff>
    </xdr:to>
    <xdr:sp macro="" textlink="">
      <xdr:nvSpPr>
        <xdr:cNvPr id="20" name="CaixaDeTexto 19"/>
        <xdr:cNvSpPr txBox="1"/>
      </xdr:nvSpPr>
      <xdr:spPr>
        <a:xfrm>
          <a:off x="5859517" y="16238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7</xdr:col>
      <xdr:colOff>240631</xdr:colOff>
      <xdr:row>115</xdr:row>
      <xdr:rowOff>23812</xdr:rowOff>
    </xdr:to>
    <xdr:sp macro="" textlink="">
      <xdr:nvSpPr>
        <xdr:cNvPr id="21" name="CaixaDeTexto 20"/>
        <xdr:cNvSpPr txBox="1"/>
      </xdr:nvSpPr>
      <xdr:spPr>
        <a:xfrm>
          <a:off x="5859517" y="19667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7</xdr:col>
      <xdr:colOff>240631</xdr:colOff>
      <xdr:row>131</xdr:row>
      <xdr:rowOff>23812</xdr:rowOff>
    </xdr:to>
    <xdr:sp macro="" textlink="">
      <xdr:nvSpPr>
        <xdr:cNvPr id="22" name="CaixaDeTexto 21"/>
        <xdr:cNvSpPr txBox="1"/>
      </xdr:nvSpPr>
      <xdr:spPr>
        <a:xfrm>
          <a:off x="5859517" y="22715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7</xdr:col>
      <xdr:colOff>240631</xdr:colOff>
      <xdr:row>147</xdr:row>
      <xdr:rowOff>23812</xdr:rowOff>
    </xdr:to>
    <xdr:sp macro="" textlink="">
      <xdr:nvSpPr>
        <xdr:cNvPr id="23" name="CaixaDeTexto 22"/>
        <xdr:cNvSpPr txBox="1"/>
      </xdr:nvSpPr>
      <xdr:spPr>
        <a:xfrm>
          <a:off x="5859517" y="25763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151</xdr:row>
      <xdr:rowOff>0</xdr:rowOff>
    </xdr:from>
    <xdr:to>
      <xdr:col>7</xdr:col>
      <xdr:colOff>240631</xdr:colOff>
      <xdr:row>165</xdr:row>
      <xdr:rowOff>23812</xdr:rowOff>
    </xdr:to>
    <xdr:sp macro="" textlink="">
      <xdr:nvSpPr>
        <xdr:cNvPr id="25" name="CaixaDeTexto 24"/>
        <xdr:cNvSpPr txBox="1"/>
      </xdr:nvSpPr>
      <xdr:spPr>
        <a:xfrm>
          <a:off x="5859517" y="29192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167</xdr:row>
      <xdr:rowOff>0</xdr:rowOff>
    </xdr:from>
    <xdr:to>
      <xdr:col>7</xdr:col>
      <xdr:colOff>240631</xdr:colOff>
      <xdr:row>181</xdr:row>
      <xdr:rowOff>23812</xdr:rowOff>
    </xdr:to>
    <xdr:sp macro="" textlink="">
      <xdr:nvSpPr>
        <xdr:cNvPr id="26" name="CaixaDeTexto 25"/>
        <xdr:cNvSpPr txBox="1"/>
      </xdr:nvSpPr>
      <xdr:spPr>
        <a:xfrm>
          <a:off x="5859517" y="32240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183</xdr:row>
      <xdr:rowOff>0</xdr:rowOff>
    </xdr:from>
    <xdr:to>
      <xdr:col>7</xdr:col>
      <xdr:colOff>240631</xdr:colOff>
      <xdr:row>197</xdr:row>
      <xdr:rowOff>23812</xdr:rowOff>
    </xdr:to>
    <xdr:sp macro="" textlink="">
      <xdr:nvSpPr>
        <xdr:cNvPr id="27" name="CaixaDeTexto 26"/>
        <xdr:cNvSpPr txBox="1"/>
      </xdr:nvSpPr>
      <xdr:spPr>
        <a:xfrm>
          <a:off x="5859517" y="35288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  <xdr:twoCellAnchor>
    <xdr:from>
      <xdr:col>7</xdr:col>
      <xdr:colOff>0</xdr:colOff>
      <xdr:row>201</xdr:row>
      <xdr:rowOff>0</xdr:rowOff>
    </xdr:from>
    <xdr:to>
      <xdr:col>7</xdr:col>
      <xdr:colOff>240631</xdr:colOff>
      <xdr:row>215</xdr:row>
      <xdr:rowOff>23812</xdr:rowOff>
    </xdr:to>
    <xdr:sp macro="" textlink="">
      <xdr:nvSpPr>
        <xdr:cNvPr id="28" name="CaixaDeTexto 27"/>
        <xdr:cNvSpPr txBox="1"/>
      </xdr:nvSpPr>
      <xdr:spPr>
        <a:xfrm>
          <a:off x="5859517" y="38717483"/>
          <a:ext cx="240631" cy="26908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pt-BR" sz="1100" b="1"/>
            <a:t>10 bar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theme="0"/>
  </sheetPr>
  <dimension ref="B1:AU80"/>
  <sheetViews>
    <sheetView showGridLines="0" showRowColHeaders="0" tabSelected="1" zoomScale="115" zoomScaleNormal="115" workbookViewId="0">
      <selection activeCell="I7" sqref="I7:L8"/>
    </sheetView>
  </sheetViews>
  <sheetFormatPr defaultRowHeight="15"/>
  <cols>
    <col min="1" max="1" width="0.85546875" customWidth="1"/>
    <col min="15" max="15" width="5.7109375" customWidth="1"/>
    <col min="18" max="18" width="2.140625" customWidth="1"/>
    <col min="19" max="19" width="2" customWidth="1"/>
    <col min="20" max="20" width="15" customWidth="1"/>
  </cols>
  <sheetData>
    <row r="1" spans="2:47" ht="15" customHeight="1">
      <c r="B1" s="44" t="s">
        <v>0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1"/>
      <c r="V1" s="1"/>
      <c r="W1" s="1"/>
      <c r="X1" s="1"/>
      <c r="Y1" s="1"/>
    </row>
    <row r="2" spans="2:47" ht="15" customHeight="1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1"/>
      <c r="V2" s="1"/>
      <c r="W2" s="1"/>
      <c r="X2" s="1"/>
      <c r="Y2" s="1"/>
    </row>
    <row r="3" spans="2:47" ht="15" customHeight="1"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1"/>
      <c r="V3" s="1"/>
      <c r="W3" s="1"/>
      <c r="X3" s="1"/>
      <c r="Y3" s="1"/>
    </row>
    <row r="4" spans="2:47" ht="15.75" thickBot="1"/>
    <row r="5" spans="2:47">
      <c r="D5" s="93" t="s">
        <v>5</v>
      </c>
      <c r="E5" s="94"/>
      <c r="F5" s="94"/>
      <c r="G5" s="86" t="s">
        <v>33</v>
      </c>
      <c r="H5" s="87"/>
      <c r="I5" s="87"/>
      <c r="J5" s="87"/>
      <c r="K5" s="87"/>
      <c r="L5" s="87"/>
      <c r="M5" s="87"/>
      <c r="N5" s="87"/>
      <c r="O5" s="87"/>
      <c r="P5" s="88"/>
    </row>
    <row r="6" spans="2:47" ht="15.75" thickBot="1">
      <c r="D6" s="95"/>
      <c r="E6" s="96"/>
      <c r="F6" s="97"/>
      <c r="G6" s="89"/>
      <c r="H6" s="90"/>
      <c r="I6" s="90"/>
      <c r="J6" s="90"/>
      <c r="K6" s="90"/>
      <c r="L6" s="90"/>
      <c r="M6" s="91"/>
      <c r="N6" s="91"/>
      <c r="O6" s="91"/>
      <c r="P6" s="92"/>
    </row>
    <row r="7" spans="2:47">
      <c r="F7" s="74" t="s">
        <v>2</v>
      </c>
      <c r="G7" s="75"/>
      <c r="H7" s="76"/>
      <c r="I7" s="80" t="s">
        <v>34</v>
      </c>
      <c r="J7" s="81"/>
      <c r="K7" s="81"/>
      <c r="L7" s="82"/>
    </row>
    <row r="8" spans="2:47" ht="16.5" thickBot="1">
      <c r="F8" s="77"/>
      <c r="G8" s="78"/>
      <c r="H8" s="79"/>
      <c r="I8" s="83"/>
      <c r="J8" s="84"/>
      <c r="K8" s="84"/>
      <c r="L8" s="85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</row>
    <row r="9" spans="2:47" ht="15.75" thickBot="1"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</row>
    <row r="10" spans="2:47">
      <c r="D10" s="47" t="s">
        <v>0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9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</row>
    <row r="11" spans="2:47">
      <c r="D11" s="50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2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</row>
    <row r="12" spans="2:47"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2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</row>
    <row r="13" spans="2:47">
      <c r="D13" s="53" t="s">
        <v>1</v>
      </c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5"/>
      <c r="R13" s="13"/>
      <c r="S13" s="21"/>
    </row>
    <row r="14" spans="2:47">
      <c r="D14" s="56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8"/>
      <c r="R14" s="25" t="str">
        <f>LEFT(H18,8)</f>
        <v xml:space="preserve">3.92864 </v>
      </c>
      <c r="S14" s="26">
        <f>VALUE(R14)</f>
        <v>3.9286400000000001</v>
      </c>
      <c r="T14" s="23"/>
    </row>
    <row r="15" spans="2:47" ht="15.75" thickBot="1">
      <c r="D15" s="59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1"/>
      <c r="Q15" s="6"/>
      <c r="S15" s="22"/>
    </row>
    <row r="16" spans="2:47">
      <c r="Q16" s="6"/>
      <c r="S16" s="6"/>
    </row>
    <row r="17" spans="4:19" ht="15.75" thickBot="1">
      <c r="D17" s="5"/>
      <c r="E17" s="5"/>
      <c r="F17" s="5"/>
      <c r="G17" s="2"/>
      <c r="H17" s="2"/>
      <c r="I17" s="2"/>
      <c r="J17" s="2"/>
      <c r="K17" s="2"/>
      <c r="L17" s="2"/>
      <c r="M17" s="2"/>
      <c r="N17" s="2"/>
      <c r="O17" s="2"/>
      <c r="Q17" s="6"/>
      <c r="S17" s="17"/>
    </row>
    <row r="18" spans="4:19">
      <c r="D18" s="62" t="s">
        <v>3</v>
      </c>
      <c r="E18" s="63"/>
      <c r="F18" s="63"/>
      <c r="G18" s="64"/>
      <c r="H18" s="68" t="s">
        <v>36</v>
      </c>
      <c r="I18" s="69"/>
      <c r="J18" s="69"/>
      <c r="K18" s="69"/>
      <c r="L18" s="70"/>
      <c r="M18" s="2"/>
      <c r="N18" s="2"/>
      <c r="O18" s="2"/>
      <c r="Q18" s="6"/>
    </row>
    <row r="19" spans="4:19" ht="15.75" thickBot="1">
      <c r="D19" s="65"/>
      <c r="E19" s="66"/>
      <c r="F19" s="66"/>
      <c r="G19" s="67"/>
      <c r="H19" s="71"/>
      <c r="I19" s="72"/>
      <c r="J19" s="72"/>
      <c r="K19" s="72"/>
      <c r="L19" s="73"/>
      <c r="O19" t="s">
        <v>6</v>
      </c>
      <c r="Q19" s="6"/>
      <c r="S19" s="20"/>
    </row>
    <row r="20" spans="4:19" ht="15.75" thickBot="1">
      <c r="Q20" s="6"/>
    </row>
    <row r="21" spans="4:19">
      <c r="D21" s="62" t="s">
        <v>3</v>
      </c>
      <c r="E21" s="63"/>
      <c r="F21" s="63"/>
      <c r="G21" s="64"/>
      <c r="H21" s="68" t="s">
        <v>8</v>
      </c>
      <c r="I21" s="69"/>
      <c r="J21" s="69"/>
      <c r="K21" s="69"/>
      <c r="L21" s="70"/>
      <c r="Q21" s="6"/>
    </row>
    <row r="22" spans="4:19" ht="15.75" thickBot="1">
      <c r="D22" s="65"/>
      <c r="E22" s="66"/>
      <c r="F22" s="66"/>
      <c r="G22" s="67"/>
      <c r="H22" s="71"/>
      <c r="I22" s="72"/>
      <c r="J22" s="72"/>
      <c r="K22" s="72"/>
      <c r="L22" s="73"/>
      <c r="Q22" s="6"/>
    </row>
    <row r="23" spans="4:19" ht="15.75" thickBot="1">
      <c r="Q23" s="6"/>
    </row>
    <row r="24" spans="4:19">
      <c r="D24" s="62" t="s">
        <v>4</v>
      </c>
      <c r="E24" s="63"/>
      <c r="F24" s="63"/>
      <c r="G24" s="64"/>
      <c r="H24" s="98" t="s">
        <v>35</v>
      </c>
      <c r="I24" s="99"/>
      <c r="J24" s="99"/>
      <c r="K24" s="99"/>
      <c r="L24" s="100"/>
      <c r="Q24" s="6"/>
    </row>
    <row r="25" spans="4:19" ht="15.75" thickBot="1">
      <c r="D25" s="65"/>
      <c r="E25" s="66"/>
      <c r="F25" s="66"/>
      <c r="G25" s="67"/>
      <c r="H25" s="101"/>
      <c r="I25" s="102"/>
      <c r="J25" s="102"/>
      <c r="K25" s="102"/>
      <c r="L25" s="103"/>
      <c r="Q25" s="6"/>
    </row>
    <row r="26" spans="4:19">
      <c r="Q26" s="6"/>
    </row>
    <row r="49" hidden="1"/>
    <row r="50" hidden="1"/>
    <row r="51" hidden="1"/>
    <row r="52" hidden="1"/>
    <row r="53" hidden="1"/>
    <row r="80" spans="5:16" ht="15.75"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</sheetData>
  <mergeCells count="14">
    <mergeCell ref="B1:T3"/>
    <mergeCell ref="E80:P80"/>
    <mergeCell ref="D10:O12"/>
    <mergeCell ref="D13:O15"/>
    <mergeCell ref="D21:G22"/>
    <mergeCell ref="H21:L22"/>
    <mergeCell ref="D18:G19"/>
    <mergeCell ref="H18:L19"/>
    <mergeCell ref="F7:H8"/>
    <mergeCell ref="I7:L8"/>
    <mergeCell ref="G5:P6"/>
    <mergeCell ref="D5:F6"/>
    <mergeCell ref="D24:G25"/>
    <mergeCell ref="H24:L25"/>
  </mergeCells>
  <conditionalFormatting sqref="H18:L19">
    <cfRule type="cellIs" dxfId="0" priority="1" stopIfTrue="1" operator="between">
      <formula>$H$24</formula>
      <formula>$H$24</formula>
    </cfRule>
  </conditionalFormatting>
  <dataValidations count="1">
    <dataValidation type="list" allowBlank="1" showInputMessage="1" showErrorMessage="1" sqref="O19">
      <formula1>$R$11:$R$14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B1:C602"/>
  <sheetViews>
    <sheetView topLeftCell="A567" workbookViewId="0">
      <selection activeCell="B599" sqref="B599:B604"/>
    </sheetView>
  </sheetViews>
  <sheetFormatPr defaultRowHeight="15"/>
  <cols>
    <col min="2" max="2" width="12.5703125" style="24" bestFit="1" customWidth="1"/>
    <col min="3" max="11" width="11" bestFit="1" customWidth="1"/>
  </cols>
  <sheetData>
    <row r="1" spans="2:3">
      <c r="B1" s="24" t="s">
        <v>7</v>
      </c>
    </row>
    <row r="2" spans="2:3">
      <c r="B2">
        <v>3.9287000000000001</v>
      </c>
    </row>
    <row r="3" spans="2:3">
      <c r="B3" s="24">
        <v>3.9287000000000001</v>
      </c>
    </row>
    <row r="4" spans="2:3">
      <c r="B4" s="24">
        <v>3.9282599999999999</v>
      </c>
    </row>
    <row r="5" spans="2:3">
      <c r="B5" s="24">
        <v>3.92848</v>
      </c>
    </row>
    <row r="6" spans="2:3">
      <c r="B6" s="24">
        <v>3.92848</v>
      </c>
    </row>
    <row r="7" spans="2:3">
      <c r="B7" s="24">
        <v>3.9285800000000002</v>
      </c>
    </row>
    <row r="8" spans="2:3">
      <c r="B8" s="24">
        <v>3.9285800000000002</v>
      </c>
    </row>
    <row r="9" spans="2:3">
      <c r="B9" s="24">
        <v>3.9285999999999999</v>
      </c>
    </row>
    <row r="10" spans="2:3">
      <c r="B10" s="24">
        <v>3.9285999999999999</v>
      </c>
      <c r="C10" s="19"/>
    </row>
    <row r="11" spans="2:3">
      <c r="B11" s="24">
        <v>3.92862</v>
      </c>
    </row>
    <row r="12" spans="2:3">
      <c r="B12" s="24">
        <v>3.9286500000000002</v>
      </c>
    </row>
    <row r="13" spans="2:3">
      <c r="B13" s="24">
        <v>3.92869</v>
      </c>
    </row>
    <row r="14" spans="2:3">
      <c r="B14" s="24">
        <v>3.9287200000000002</v>
      </c>
    </row>
    <row r="15" spans="2:3">
      <c r="B15" s="24">
        <v>3.9287200000000002</v>
      </c>
    </row>
    <row r="16" spans="2:3">
      <c r="B16" s="24">
        <v>3.9286300000000001</v>
      </c>
    </row>
    <row r="17" spans="2:2">
      <c r="B17" s="24">
        <v>3.9286300000000001</v>
      </c>
    </row>
    <row r="18" spans="2:2">
      <c r="B18" s="24">
        <v>3.9285199999999998</v>
      </c>
    </row>
    <row r="19" spans="2:2">
      <c r="B19" s="24">
        <v>3.9285800000000002</v>
      </c>
    </row>
    <row r="20" spans="2:2">
      <c r="B20" s="24">
        <v>3.9286699999999999</v>
      </c>
    </row>
    <row r="21" spans="2:2">
      <c r="B21" s="24">
        <v>3.9285299999999999</v>
      </c>
    </row>
    <row r="22" spans="2:2">
      <c r="B22" s="24">
        <v>3.9287200000000002</v>
      </c>
    </row>
    <row r="23" spans="2:2">
      <c r="B23">
        <v>3.9287200000000002</v>
      </c>
    </row>
    <row r="24" spans="2:2">
      <c r="B24" s="24">
        <v>3.92862</v>
      </c>
    </row>
    <row r="25" spans="2:2">
      <c r="B25" s="24">
        <v>3.9285899999999998</v>
      </c>
    </row>
    <row r="26" spans="2:2">
      <c r="B26" s="24">
        <v>3.9286300000000001</v>
      </c>
    </row>
    <row r="27" spans="2:2">
      <c r="B27" s="24">
        <v>3.9288500000000002</v>
      </c>
    </row>
    <row r="28" spans="2:2">
      <c r="B28" s="24">
        <v>3.9288500000000002</v>
      </c>
    </row>
    <row r="29" spans="2:2">
      <c r="B29" s="24">
        <v>3.9288599999999998</v>
      </c>
    </row>
    <row r="30" spans="2:2">
      <c r="B30" s="24">
        <v>3.9283899999999998</v>
      </c>
    </row>
    <row r="31" spans="2:2">
      <c r="B31" s="24">
        <v>3.9285899999999998</v>
      </c>
    </row>
    <row r="32" spans="2:2">
      <c r="B32" s="24">
        <v>3.9285800000000002</v>
      </c>
    </row>
    <row r="33" spans="2:2">
      <c r="B33" s="24">
        <v>3.9285399999999999</v>
      </c>
    </row>
    <row r="34" spans="2:2">
      <c r="B34" s="24">
        <v>3.9285399999999999</v>
      </c>
    </row>
    <row r="35" spans="2:2">
      <c r="B35" s="24">
        <v>3.9287800000000002</v>
      </c>
    </row>
    <row r="36" spans="2:2">
      <c r="B36" s="24">
        <v>3.9286400000000001</v>
      </c>
    </row>
    <row r="37" spans="2:2">
      <c r="B37" s="24">
        <v>3.9286599999999998</v>
      </c>
    </row>
    <row r="38" spans="2:2">
      <c r="B38" s="24">
        <v>3.92862</v>
      </c>
    </row>
    <row r="39" spans="2:2">
      <c r="B39" s="24">
        <v>3.92862</v>
      </c>
    </row>
    <row r="40" spans="2:2">
      <c r="B40" s="24">
        <v>3.95682</v>
      </c>
    </row>
    <row r="41" spans="2:2">
      <c r="B41" s="24">
        <v>4.0213299999999998</v>
      </c>
    </row>
    <row r="42" spans="2:2">
      <c r="B42" s="24">
        <v>4.0872799999999998</v>
      </c>
    </row>
    <row r="43" spans="2:2">
      <c r="B43" s="24">
        <v>4.0872799999999998</v>
      </c>
    </row>
    <row r="44" spans="2:2">
      <c r="B44">
        <v>4.2185499999999996</v>
      </c>
    </row>
    <row r="45" spans="2:2">
      <c r="B45" s="24">
        <v>4.2827700000000002</v>
      </c>
    </row>
    <row r="46" spans="2:2">
      <c r="B46" s="24">
        <v>4.2824999999999998</v>
      </c>
    </row>
    <row r="47" spans="2:2">
      <c r="B47" s="24">
        <v>4.2827000000000002</v>
      </c>
    </row>
    <row r="48" spans="2:2">
      <c r="B48" s="24">
        <v>4.2827000000000002</v>
      </c>
    </row>
    <row r="49" spans="2:2">
      <c r="B49" s="24">
        <v>4.2828600000000003</v>
      </c>
    </row>
    <row r="50" spans="2:2">
      <c r="B50" s="24">
        <v>4.2826399999999998</v>
      </c>
    </row>
    <row r="51" spans="2:2">
      <c r="B51" s="24">
        <v>4.2827200000000003</v>
      </c>
    </row>
    <row r="52" spans="2:2">
      <c r="B52" s="24">
        <v>4.2827200000000003</v>
      </c>
    </row>
    <row r="53" spans="2:2">
      <c r="B53" s="24">
        <v>4.2860100000000001</v>
      </c>
    </row>
    <row r="54" spans="2:2">
      <c r="B54" s="24">
        <v>4.2858799999999997</v>
      </c>
    </row>
    <row r="55" spans="2:2">
      <c r="B55" s="24">
        <v>4.2859100000000003</v>
      </c>
    </row>
    <row r="56" spans="2:2">
      <c r="B56" s="24">
        <v>4.2859100000000003</v>
      </c>
    </row>
    <row r="57" spans="2:2">
      <c r="B57" s="24">
        <v>4.2857200000000004</v>
      </c>
    </row>
    <row r="58" spans="2:2">
      <c r="B58" s="24">
        <v>4.2857700000000003</v>
      </c>
    </row>
    <row r="59" spans="2:2">
      <c r="B59" s="24">
        <v>4.2858000000000001</v>
      </c>
    </row>
    <row r="60" spans="2:2">
      <c r="B60" s="24">
        <v>4.2858000000000001</v>
      </c>
    </row>
    <row r="61" spans="2:2">
      <c r="B61" s="24">
        <v>4.2858700000000001</v>
      </c>
    </row>
    <row r="62" spans="2:2">
      <c r="B62" s="24">
        <v>4.2858700000000001</v>
      </c>
    </row>
    <row r="63" spans="2:2">
      <c r="B63" s="24">
        <v>4.2859299999999996</v>
      </c>
    </row>
    <row r="64" spans="2:2">
      <c r="B64" s="24">
        <v>4.2858799999999997</v>
      </c>
    </row>
    <row r="65" spans="2:2">
      <c r="B65">
        <v>4.2862099999999996</v>
      </c>
    </row>
    <row r="66" spans="2:2">
      <c r="B66" s="24">
        <v>4.2857900000000004</v>
      </c>
    </row>
    <row r="67" spans="2:2">
      <c r="B67" s="24">
        <v>4.2857900000000004</v>
      </c>
    </row>
    <row r="68" spans="2:2">
      <c r="B68" s="24">
        <v>4.28573</v>
      </c>
    </row>
    <row r="69" spans="2:2">
      <c r="B69" s="24">
        <v>4.2858200000000002</v>
      </c>
    </row>
    <row r="70" spans="2:2">
      <c r="B70" s="24">
        <v>4.2858700000000001</v>
      </c>
    </row>
    <row r="71" spans="2:2">
      <c r="B71" s="24">
        <v>4.2858700000000001</v>
      </c>
    </row>
    <row r="72" spans="2:2">
      <c r="B72" s="24">
        <v>4.2858200000000002</v>
      </c>
    </row>
    <row r="73" spans="2:2">
      <c r="B73" s="24">
        <v>4.2857000000000003</v>
      </c>
    </row>
    <row r="74" spans="2:2">
      <c r="B74" s="24">
        <v>4.2859100000000003</v>
      </c>
    </row>
    <row r="75" spans="2:2">
      <c r="B75" s="24">
        <v>4.2859100000000003</v>
      </c>
    </row>
    <row r="76" spans="2:2">
      <c r="B76" s="24">
        <v>4.2857399999999997</v>
      </c>
    </row>
    <row r="77" spans="2:2">
      <c r="B77" s="24">
        <v>4.2857399999999997</v>
      </c>
    </row>
    <row r="78" spans="2:2">
      <c r="B78" s="24">
        <v>4.2856399999999999</v>
      </c>
    </row>
    <row r="79" spans="2:2">
      <c r="B79" s="24">
        <v>4.2858099999999997</v>
      </c>
    </row>
    <row r="80" spans="2:2">
      <c r="B80" s="24">
        <v>4.2858299999999998</v>
      </c>
    </row>
    <row r="81" spans="2:2">
      <c r="B81" s="24">
        <v>4.2857900000000004</v>
      </c>
    </row>
    <row r="82" spans="2:2">
      <c r="B82" s="24">
        <v>4.2858700000000001</v>
      </c>
    </row>
    <row r="83" spans="2:2">
      <c r="B83" s="24">
        <v>4.2858700000000001</v>
      </c>
    </row>
    <row r="84" spans="2:2">
      <c r="B84" s="24">
        <v>4.2858900000000002</v>
      </c>
    </row>
    <row r="85" spans="2:2">
      <c r="B85" s="24">
        <v>4.2859100000000003</v>
      </c>
    </row>
    <row r="86" spans="2:2">
      <c r="B86">
        <v>4.2859100000000003</v>
      </c>
    </row>
    <row r="87" spans="2:2">
      <c r="B87" s="24">
        <v>4.2858700000000001</v>
      </c>
    </row>
    <row r="88" spans="2:2">
      <c r="B88" s="24">
        <v>4.2858400000000003</v>
      </c>
    </row>
    <row r="89" spans="2:2">
      <c r="B89" s="24">
        <v>4.2858400000000003</v>
      </c>
    </row>
    <row r="90" spans="2:2">
      <c r="B90" s="24">
        <v>4.2856399999999999</v>
      </c>
    </row>
    <row r="91" spans="2:2">
      <c r="B91" s="24">
        <v>4.2856500000000004</v>
      </c>
    </row>
    <row r="92" spans="2:2">
      <c r="B92" s="24">
        <v>4.28573</v>
      </c>
    </row>
    <row r="93" spans="2:2">
      <c r="B93" s="24">
        <v>4.2858700000000001</v>
      </c>
    </row>
    <row r="94" spans="2:2">
      <c r="B94" s="24">
        <v>4.2858700000000001</v>
      </c>
    </row>
    <row r="95" spans="2:2">
      <c r="B95" s="24">
        <v>4.28592</v>
      </c>
    </row>
    <row r="96" spans="2:2">
      <c r="B96" s="24">
        <v>4.2857599999999998</v>
      </c>
    </row>
    <row r="97" spans="2:2">
      <c r="B97" s="24">
        <v>4.2858799999999997</v>
      </c>
    </row>
    <row r="98" spans="2:2">
      <c r="B98" s="24">
        <v>4.2858999999999998</v>
      </c>
    </row>
    <row r="99" spans="2:2">
      <c r="B99" s="24">
        <v>4.2856699999999996</v>
      </c>
    </row>
    <row r="100" spans="2:2">
      <c r="B100" s="24">
        <v>4.2856699999999996</v>
      </c>
    </row>
    <row r="101" spans="2:2">
      <c r="B101" s="24">
        <v>4.2859100000000003</v>
      </c>
    </row>
    <row r="102" spans="2:2">
      <c r="B102" s="24">
        <v>4.2859100000000003</v>
      </c>
    </row>
    <row r="103" spans="2:2">
      <c r="B103" s="24">
        <v>4.2859100000000003</v>
      </c>
    </row>
    <row r="104" spans="2:2">
      <c r="B104" s="24">
        <v>4.2858000000000001</v>
      </c>
    </row>
    <row r="105" spans="2:2">
      <c r="B105" s="24">
        <v>4.2858000000000001</v>
      </c>
    </row>
    <row r="106" spans="2:2">
      <c r="B106" s="24">
        <v>4.2855800000000004</v>
      </c>
    </row>
    <row r="107" spans="2:2">
      <c r="B107">
        <v>4.28566</v>
      </c>
    </row>
    <row r="108" spans="2:2">
      <c r="B108" s="24">
        <v>4.2855699999999999</v>
      </c>
    </row>
    <row r="109" spans="2:2">
      <c r="B109" s="24">
        <v>4.2857399999999997</v>
      </c>
    </row>
    <row r="110" spans="2:2">
      <c r="B110" s="24">
        <v>4.2856500000000004</v>
      </c>
    </row>
    <row r="111" spans="2:2">
      <c r="B111" s="24">
        <v>4.2856500000000004</v>
      </c>
    </row>
    <row r="112" spans="2:2">
      <c r="B112" s="24">
        <v>4.2858000000000001</v>
      </c>
    </row>
    <row r="113" spans="2:2">
      <c r="B113" s="24">
        <v>4.2858000000000001</v>
      </c>
    </row>
    <row r="114" spans="2:2">
      <c r="B114" s="24">
        <v>4.2857599999999998</v>
      </c>
    </row>
    <row r="115" spans="2:2">
      <c r="B115" s="24">
        <v>4.2857599999999998</v>
      </c>
    </row>
    <row r="116" spans="2:2">
      <c r="B116" s="24">
        <v>4.3557499999999996</v>
      </c>
    </row>
    <row r="117" spans="2:2">
      <c r="B117" s="24">
        <v>4.42136</v>
      </c>
    </row>
    <row r="118" spans="2:2">
      <c r="B118" s="24">
        <v>4.48726</v>
      </c>
    </row>
    <row r="119" spans="2:2">
      <c r="B119" s="24">
        <v>4.6198199999999998</v>
      </c>
    </row>
    <row r="120" spans="2:2">
      <c r="B120" s="24">
        <v>4.6401199999999996</v>
      </c>
    </row>
    <row r="121" spans="2:2">
      <c r="B121" s="24">
        <v>4.6402799999999997</v>
      </c>
    </row>
    <row r="122" spans="2:2">
      <c r="B122" s="24">
        <v>4.6402799999999997</v>
      </c>
    </row>
    <row r="123" spans="2:2">
      <c r="B123" s="24">
        <v>4.6402799999999997</v>
      </c>
    </row>
    <row r="124" spans="2:2">
      <c r="B124" s="24">
        <v>4.6402900000000002</v>
      </c>
    </row>
    <row r="125" spans="2:2">
      <c r="B125" s="24">
        <v>4.6402900000000002</v>
      </c>
    </row>
    <row r="126" spans="2:2">
      <c r="B126" s="24">
        <v>4.6402799999999997</v>
      </c>
    </row>
    <row r="127" spans="2:2">
      <c r="B127" s="24">
        <v>4.6409099999999999</v>
      </c>
    </row>
    <row r="128" spans="2:2">
      <c r="B128">
        <v>4.64297</v>
      </c>
    </row>
    <row r="129" spans="2:2">
      <c r="B129" s="24">
        <v>4.64297</v>
      </c>
    </row>
    <row r="130" spans="2:2">
      <c r="B130" s="24">
        <v>4.6428500000000001</v>
      </c>
    </row>
    <row r="131" spans="2:2">
      <c r="B131" s="24">
        <v>4.6430699999999998</v>
      </c>
    </row>
    <row r="132" spans="2:2">
      <c r="B132" s="24">
        <v>4.6429499999999999</v>
      </c>
    </row>
    <row r="133" spans="2:2">
      <c r="B133" s="24">
        <v>4.6428799999999999</v>
      </c>
    </row>
    <row r="134" spans="2:2">
      <c r="B134" s="24">
        <v>4.6428799999999999</v>
      </c>
    </row>
    <row r="135" spans="2:2">
      <c r="B135" s="24">
        <v>4.6427500000000004</v>
      </c>
    </row>
    <row r="136" spans="2:2">
      <c r="B136" s="24">
        <v>4.6427399999999999</v>
      </c>
    </row>
    <row r="137" spans="2:2">
      <c r="B137" s="24">
        <v>4.64276</v>
      </c>
    </row>
    <row r="138" spans="2:2">
      <c r="B138" s="24">
        <v>4.64283</v>
      </c>
    </row>
    <row r="139" spans="2:2">
      <c r="B139" s="24">
        <v>4.6428900000000004</v>
      </c>
    </row>
    <row r="140" spans="2:2">
      <c r="B140" s="24">
        <v>4.6428900000000004</v>
      </c>
    </row>
    <row r="141" spans="2:2">
      <c r="B141" s="24">
        <v>4.6429299999999998</v>
      </c>
    </row>
    <row r="142" spans="2:2">
      <c r="B142" s="24">
        <v>4.6430199999999999</v>
      </c>
    </row>
    <row r="143" spans="2:2">
      <c r="B143" s="24">
        <v>4.6429099999999996</v>
      </c>
    </row>
    <row r="144" spans="2:2">
      <c r="B144" s="24">
        <v>4.6429099999999996</v>
      </c>
    </row>
    <row r="145" spans="2:2">
      <c r="B145" s="24">
        <v>4.6431899999999997</v>
      </c>
    </row>
    <row r="146" spans="2:2">
      <c r="B146" s="24">
        <v>4.6431300000000002</v>
      </c>
    </row>
    <row r="147" spans="2:2">
      <c r="B147" s="24">
        <v>4.6429299999999998</v>
      </c>
    </row>
    <row r="148" spans="2:2">
      <c r="B148" s="24">
        <v>4.6429299999999998</v>
      </c>
    </row>
    <row r="149" spans="2:2">
      <c r="B149">
        <v>4.6430499999999997</v>
      </c>
    </row>
    <row r="150" spans="2:2">
      <c r="B150" s="24">
        <v>4.6430199999999999</v>
      </c>
    </row>
    <row r="151" spans="2:2">
      <c r="B151" s="24">
        <v>4.6430199999999999</v>
      </c>
    </row>
    <row r="152" spans="2:2">
      <c r="B152" s="24">
        <v>4.6430300000000004</v>
      </c>
    </row>
    <row r="153" spans="2:2">
      <c r="B153" s="24">
        <v>4.6428099999999999</v>
      </c>
    </row>
    <row r="154" spans="2:2">
      <c r="B154" s="24">
        <v>4.6428200000000004</v>
      </c>
    </row>
    <row r="155" spans="2:2">
      <c r="B155" s="24">
        <v>4.6429299999999998</v>
      </c>
    </row>
    <row r="156" spans="2:2">
      <c r="B156" s="24">
        <v>4.6428799999999999</v>
      </c>
    </row>
    <row r="157" spans="2:2">
      <c r="B157" s="24">
        <v>4.6428799999999999</v>
      </c>
    </row>
    <row r="158" spans="2:2">
      <c r="B158" s="24">
        <v>4.6429900000000002</v>
      </c>
    </row>
    <row r="159" spans="2:2">
      <c r="B159" s="24">
        <v>4.6428900000000004</v>
      </c>
    </row>
    <row r="160" spans="2:2">
      <c r="B160" s="24">
        <v>4.6428900000000004</v>
      </c>
    </row>
    <row r="161" spans="2:2">
      <c r="B161" s="24">
        <v>4.6429799999999997</v>
      </c>
    </row>
    <row r="162" spans="2:2">
      <c r="B162" s="24">
        <v>4.64297</v>
      </c>
    </row>
    <row r="163" spans="2:2">
      <c r="B163" s="24">
        <v>4.64297</v>
      </c>
    </row>
    <row r="164" spans="2:2">
      <c r="B164" s="24">
        <v>4.6431500000000003</v>
      </c>
    </row>
    <row r="165" spans="2:2">
      <c r="B165" s="24">
        <v>4.6430100000000003</v>
      </c>
    </row>
    <row r="166" spans="2:2">
      <c r="B166" s="24">
        <v>4.6427699999999996</v>
      </c>
    </row>
    <row r="167" spans="2:2">
      <c r="B167" s="24">
        <v>4.6429799999999997</v>
      </c>
    </row>
    <row r="168" spans="2:2">
      <c r="B168" s="24">
        <v>4.6427100000000001</v>
      </c>
    </row>
    <row r="169" spans="2:2">
      <c r="B169" s="24">
        <v>4.6427199999999997</v>
      </c>
    </row>
    <row r="170" spans="2:2">
      <c r="B170">
        <v>4.6427199999999997</v>
      </c>
    </row>
    <row r="171" spans="2:2">
      <c r="B171" s="24">
        <v>4.6428099999999999</v>
      </c>
    </row>
    <row r="172" spans="2:2">
      <c r="B172" s="24">
        <v>4.6430400000000001</v>
      </c>
    </row>
    <row r="173" spans="2:2">
      <c r="B173" s="24">
        <v>4.6428900000000004</v>
      </c>
    </row>
    <row r="174" spans="2:2">
      <c r="B174" s="24">
        <v>4.6428900000000004</v>
      </c>
    </row>
    <row r="175" spans="2:2">
      <c r="B175" s="24">
        <v>4.6430400000000001</v>
      </c>
    </row>
    <row r="176" spans="2:2">
      <c r="B176" s="24">
        <v>4.6430400000000001</v>
      </c>
    </row>
    <row r="177" spans="2:2">
      <c r="B177" s="24">
        <v>4.6430499999999997</v>
      </c>
    </row>
    <row r="178" spans="2:2">
      <c r="B178" s="24">
        <v>4.6429400000000003</v>
      </c>
    </row>
    <row r="179" spans="2:2">
      <c r="B179" s="24">
        <v>4.6429999999999998</v>
      </c>
    </row>
    <row r="180" spans="2:2">
      <c r="B180" s="24">
        <v>4.6429999999999998</v>
      </c>
    </row>
    <row r="181" spans="2:2">
      <c r="B181" s="24">
        <v>4.6430199999999999</v>
      </c>
    </row>
    <row r="182" spans="2:2">
      <c r="B182" s="24">
        <v>4.6431100000000001</v>
      </c>
    </row>
    <row r="183" spans="2:2">
      <c r="B183" s="24">
        <v>4.6431100000000001</v>
      </c>
    </row>
    <row r="184" spans="2:2">
      <c r="B184" s="24">
        <v>4.6431100000000001</v>
      </c>
    </row>
    <row r="185" spans="2:2">
      <c r="B185" s="24">
        <v>4.6428000000000003</v>
      </c>
    </row>
    <row r="186" spans="2:2">
      <c r="B186" s="24">
        <v>4.6428399999999996</v>
      </c>
    </row>
    <row r="187" spans="2:2">
      <c r="B187" s="24">
        <v>4.6429200000000002</v>
      </c>
    </row>
    <row r="188" spans="2:2">
      <c r="B188" s="24">
        <v>4.64297</v>
      </c>
    </row>
    <row r="189" spans="2:2">
      <c r="B189" s="24">
        <v>4.7664400000000002</v>
      </c>
    </row>
    <row r="190" spans="2:2">
      <c r="B190" s="24">
        <v>4.8294600000000001</v>
      </c>
    </row>
    <row r="191" spans="2:2">
      <c r="B191">
        <v>4.8964800000000004</v>
      </c>
    </row>
    <row r="192" spans="2:2">
      <c r="B192" s="24">
        <v>4.9980500000000001</v>
      </c>
    </row>
    <row r="193" spans="2:2">
      <c r="B193" s="24">
        <v>4.9980500000000001</v>
      </c>
    </row>
    <row r="194" spans="2:2">
      <c r="B194" s="24">
        <v>4.9980099999999998</v>
      </c>
    </row>
    <row r="195" spans="2:2">
      <c r="B195" s="24">
        <v>4.9980099999999998</v>
      </c>
    </row>
    <row r="196" spans="2:2">
      <c r="B196" s="24">
        <v>4.9979699999999996</v>
      </c>
    </row>
    <row r="197" spans="2:2">
      <c r="B197" s="24">
        <v>4.9980200000000004</v>
      </c>
    </row>
    <row r="198" spans="2:2">
      <c r="B198" s="24">
        <v>4.9980200000000004</v>
      </c>
    </row>
    <row r="199" spans="2:2">
      <c r="B199" s="24">
        <v>4.9980500000000001</v>
      </c>
    </row>
    <row r="200" spans="2:2">
      <c r="B200" s="24">
        <v>4.9980500000000001</v>
      </c>
    </row>
    <row r="201" spans="2:2">
      <c r="B201" s="24">
        <v>4.9999700000000002</v>
      </c>
    </row>
    <row r="202" spans="2:2">
      <c r="B202" s="24">
        <v>5.0001899999999999</v>
      </c>
    </row>
    <row r="203" spans="2:2">
      <c r="B203" s="24">
        <v>5.0001800000000003</v>
      </c>
    </row>
    <row r="204" spans="2:2">
      <c r="B204" s="24">
        <v>5.0000499999999999</v>
      </c>
    </row>
    <row r="205" spans="2:2">
      <c r="B205" s="24">
        <v>5.0001499999999997</v>
      </c>
    </row>
    <row r="206" spans="2:2">
      <c r="B206" s="24">
        <v>5</v>
      </c>
    </row>
    <row r="207" spans="2:2">
      <c r="B207" s="24">
        <v>5</v>
      </c>
    </row>
    <row r="208" spans="2:2">
      <c r="B208" s="24">
        <v>5</v>
      </c>
    </row>
    <row r="209" spans="2:2">
      <c r="B209" s="24">
        <v>4.9999900000000004</v>
      </c>
    </row>
    <row r="210" spans="2:2">
      <c r="B210" s="24">
        <v>5.0001899999999999</v>
      </c>
    </row>
    <row r="211" spans="2:2">
      <c r="B211" s="24">
        <v>5.0000499999999999</v>
      </c>
    </row>
    <row r="212" spans="2:2">
      <c r="B212">
        <v>5.0003399999999996</v>
      </c>
    </row>
    <row r="213" spans="2:2">
      <c r="B213" s="24">
        <v>5.0000499999999999</v>
      </c>
    </row>
    <row r="214" spans="2:2">
      <c r="B214" s="24">
        <v>5.0000499999999999</v>
      </c>
    </row>
    <row r="215" spans="2:2">
      <c r="B215" s="24">
        <v>5.0000900000000001</v>
      </c>
    </row>
    <row r="216" spans="2:2">
      <c r="B216" s="24">
        <v>5.0001899999999999</v>
      </c>
    </row>
    <row r="217" spans="2:2">
      <c r="B217" s="24">
        <v>5.0001899999999999</v>
      </c>
    </row>
    <row r="218" spans="2:2">
      <c r="B218" s="24">
        <v>5.0001300000000004</v>
      </c>
    </row>
    <row r="219" spans="2:2">
      <c r="B219" s="24">
        <v>5.0001300000000004</v>
      </c>
    </row>
    <row r="220" spans="2:2">
      <c r="B220" s="24">
        <v>5.0001899999999999</v>
      </c>
    </row>
    <row r="221" spans="2:2">
      <c r="B221" s="24">
        <v>5.0001899999999999</v>
      </c>
    </row>
    <row r="222" spans="2:2">
      <c r="B222" s="24">
        <v>5.00014</v>
      </c>
    </row>
    <row r="223" spans="2:2">
      <c r="B223" s="24">
        <v>5.00021</v>
      </c>
    </row>
    <row r="224" spans="2:2">
      <c r="B224" s="24">
        <v>5.0001899999999999</v>
      </c>
    </row>
    <row r="225" spans="2:2">
      <c r="B225" s="24">
        <v>5.00021</v>
      </c>
    </row>
    <row r="226" spans="2:2">
      <c r="B226" s="24">
        <v>5.00021</v>
      </c>
    </row>
    <row r="227" spans="2:2">
      <c r="B227" s="24">
        <v>5.0001600000000002</v>
      </c>
    </row>
    <row r="228" spans="2:2">
      <c r="B228" s="24">
        <v>5.0000499999999999</v>
      </c>
    </row>
    <row r="229" spans="2:2">
      <c r="B229" s="24">
        <v>5.0001499999999997</v>
      </c>
    </row>
    <row r="230" spans="2:2">
      <c r="B230" s="24">
        <v>5.00014</v>
      </c>
    </row>
    <row r="231" spans="2:2">
      <c r="B231" s="24">
        <v>5.0001499999999997</v>
      </c>
    </row>
    <row r="232" spans="2:2">
      <c r="B232" s="24">
        <v>5.0001499999999997</v>
      </c>
    </row>
    <row r="233" spans="2:2">
      <c r="B233">
        <v>5.0000099999999996</v>
      </c>
    </row>
    <row r="234" spans="2:2">
      <c r="B234" s="24">
        <v>4.9999700000000002</v>
      </c>
    </row>
    <row r="235" spans="2:2">
      <c r="B235" s="24">
        <v>5.0001199999999999</v>
      </c>
    </row>
    <row r="236" spans="2:2">
      <c r="B236" s="24">
        <v>5.0001899999999999</v>
      </c>
    </row>
    <row r="237" spans="2:2">
      <c r="B237" s="24">
        <v>4.9998899999999997</v>
      </c>
    </row>
    <row r="238" spans="2:2">
      <c r="B238" s="24">
        <v>4.9998899999999997</v>
      </c>
    </row>
    <row r="239" spans="2:2">
      <c r="B239" s="24">
        <v>5.00007</v>
      </c>
    </row>
    <row r="240" spans="2:2">
      <c r="B240" s="24">
        <v>5.00007</v>
      </c>
    </row>
    <row r="241" spans="2:2">
      <c r="B241" s="24">
        <v>4.9999399999999996</v>
      </c>
    </row>
    <row r="242" spans="2:2">
      <c r="B242" s="24">
        <v>4.9999500000000001</v>
      </c>
    </row>
    <row r="243" spans="2:2">
      <c r="B243" s="24">
        <v>4.9999599999999997</v>
      </c>
    </row>
    <row r="244" spans="2:2">
      <c r="B244" s="24">
        <v>4.9999900000000004</v>
      </c>
    </row>
    <row r="245" spans="2:2">
      <c r="B245" s="24">
        <v>5.0001499999999997</v>
      </c>
    </row>
    <row r="246" spans="2:2">
      <c r="B246" s="24">
        <v>5.0001499999999997</v>
      </c>
    </row>
    <row r="247" spans="2:2">
      <c r="B247" s="24">
        <v>5.0000600000000004</v>
      </c>
    </row>
    <row r="248" spans="2:2">
      <c r="B248" s="24">
        <v>5.0000999999999998</v>
      </c>
    </row>
    <row r="249" spans="2:2">
      <c r="B249" s="24">
        <v>5.0001199999999999</v>
      </c>
    </row>
    <row r="250" spans="2:2">
      <c r="B250" s="24">
        <v>4.9999200000000004</v>
      </c>
    </row>
    <row r="251" spans="2:2">
      <c r="B251" s="24">
        <v>4.9998399999999998</v>
      </c>
    </row>
    <row r="252" spans="2:2">
      <c r="B252" s="24">
        <v>4.9998399999999998</v>
      </c>
    </row>
    <row r="253" spans="2:2">
      <c r="B253" s="24">
        <v>5</v>
      </c>
    </row>
    <row r="254" spans="2:2">
      <c r="B254" s="24">
        <v>5.00014</v>
      </c>
    </row>
    <row r="255" spans="2:2">
      <c r="B255">
        <v>5.00014</v>
      </c>
    </row>
    <row r="256" spans="2:2">
      <c r="B256" s="24">
        <v>5.0000299999999998</v>
      </c>
    </row>
    <row r="257" spans="2:2">
      <c r="B257" s="24">
        <v>4.9998699999999996</v>
      </c>
    </row>
    <row r="258" spans="2:2">
      <c r="B258" s="24">
        <v>4.9998699999999996</v>
      </c>
    </row>
    <row r="259" spans="2:2">
      <c r="B259" s="24">
        <v>5.0000400000000003</v>
      </c>
    </row>
    <row r="260" spans="2:2">
      <c r="B260" s="24">
        <v>5.0001100000000003</v>
      </c>
    </row>
    <row r="261" spans="2:2">
      <c r="B261" s="24">
        <v>5.0001100000000003</v>
      </c>
    </row>
    <row r="262" spans="2:2">
      <c r="B262" s="24">
        <v>4.9184400000000004</v>
      </c>
    </row>
    <row r="263" spans="2:2">
      <c r="B263" s="24">
        <v>4.8525600000000004</v>
      </c>
    </row>
    <row r="264" spans="2:2">
      <c r="B264" s="24">
        <v>4.7849300000000001</v>
      </c>
    </row>
    <row r="265" spans="2:2">
      <c r="B265" s="24">
        <v>4.7187999999999999</v>
      </c>
    </row>
    <row r="266" spans="2:2">
      <c r="B266" s="24">
        <v>4.6422999999999996</v>
      </c>
    </row>
    <row r="267" spans="2:2">
      <c r="B267" s="24">
        <v>4.6421200000000002</v>
      </c>
    </row>
    <row r="268" spans="2:2">
      <c r="B268" s="24">
        <v>4.6423300000000003</v>
      </c>
    </row>
    <row r="269" spans="2:2">
      <c r="B269" s="24">
        <v>4.6423300000000003</v>
      </c>
    </row>
    <row r="270" spans="2:2">
      <c r="B270" s="24">
        <v>4.64236</v>
      </c>
    </row>
    <row r="271" spans="2:2">
      <c r="B271" s="24">
        <v>4.6424399999999997</v>
      </c>
    </row>
    <row r="272" spans="2:2">
      <c r="B272" s="24">
        <v>4.6428900000000004</v>
      </c>
    </row>
    <row r="273" spans="2:2">
      <c r="B273" s="24">
        <v>4.6429200000000002</v>
      </c>
    </row>
    <row r="274" spans="2:2">
      <c r="B274" s="24">
        <v>4.6430100000000003</v>
      </c>
    </row>
    <row r="275" spans="2:2">
      <c r="B275" s="24">
        <v>4.6430100000000003</v>
      </c>
    </row>
    <row r="276" spans="2:2">
      <c r="B276">
        <v>4.6433600000000004</v>
      </c>
    </row>
    <row r="277" spans="2:2">
      <c r="B277" s="24">
        <v>4.6428500000000001</v>
      </c>
    </row>
    <row r="278" spans="2:2">
      <c r="B278" s="24">
        <v>4.6428500000000001</v>
      </c>
    </row>
    <row r="279" spans="2:2">
      <c r="B279" s="24">
        <v>4.6427800000000001</v>
      </c>
    </row>
    <row r="280" spans="2:2">
      <c r="B280" s="24">
        <v>4.6429799999999997</v>
      </c>
    </row>
    <row r="281" spans="2:2">
      <c r="B281" s="24">
        <v>4.6429099999999996</v>
      </c>
    </row>
    <row r="282" spans="2:2">
      <c r="B282" s="24">
        <v>4.6429299999999998</v>
      </c>
    </row>
    <row r="283" spans="2:2">
      <c r="B283" s="24">
        <v>4.6429299999999998</v>
      </c>
    </row>
    <row r="284" spans="2:2">
      <c r="B284" s="24">
        <v>4.6427699999999996</v>
      </c>
    </row>
    <row r="285" spans="2:2">
      <c r="B285" s="24">
        <v>4.6427699999999996</v>
      </c>
    </row>
    <row r="286" spans="2:2">
      <c r="B286" s="24">
        <v>4.64316</v>
      </c>
    </row>
    <row r="287" spans="2:2">
      <c r="B287" s="24">
        <v>4.6430400000000001</v>
      </c>
    </row>
    <row r="288" spans="2:2">
      <c r="B288" s="24">
        <v>4.6430699999999998</v>
      </c>
    </row>
    <row r="289" spans="2:2">
      <c r="B289" s="24">
        <v>4.6431100000000001</v>
      </c>
    </row>
    <row r="290" spans="2:2">
      <c r="B290" s="24">
        <v>4.6428000000000003</v>
      </c>
    </row>
    <row r="291" spans="2:2">
      <c r="B291" s="24">
        <v>4.6428000000000003</v>
      </c>
    </row>
    <row r="292" spans="2:2">
      <c r="B292" s="24">
        <v>4.6429499999999999</v>
      </c>
    </row>
    <row r="293" spans="2:2">
      <c r="B293" s="24">
        <v>4.6431699999999996</v>
      </c>
    </row>
    <row r="294" spans="2:2">
      <c r="B294" s="24">
        <v>4.6431699999999996</v>
      </c>
    </row>
    <row r="295" spans="2:2">
      <c r="B295" s="24">
        <v>4.6428000000000003</v>
      </c>
    </row>
    <row r="296" spans="2:2">
      <c r="B296" s="24">
        <v>4.6429600000000004</v>
      </c>
    </row>
    <row r="297" spans="2:2">
      <c r="B297">
        <v>4.6429600000000004</v>
      </c>
    </row>
    <row r="298" spans="2:2">
      <c r="B298" s="24">
        <v>4.6430400000000001</v>
      </c>
    </row>
    <row r="299" spans="2:2">
      <c r="B299" s="24">
        <v>4.6431300000000002</v>
      </c>
    </row>
    <row r="300" spans="2:2">
      <c r="B300" s="24">
        <v>4.6431300000000002</v>
      </c>
    </row>
    <row r="301" spans="2:2">
      <c r="B301" s="24">
        <v>4.6430499999999997</v>
      </c>
    </row>
    <row r="302" spans="2:2">
      <c r="B302" s="24">
        <v>4.6432099999999998</v>
      </c>
    </row>
    <row r="303" spans="2:2">
      <c r="B303" s="24">
        <v>4.6428900000000004</v>
      </c>
    </row>
    <row r="304" spans="2:2">
      <c r="B304" s="24">
        <v>4.6428900000000004</v>
      </c>
    </row>
    <row r="305" spans="2:2">
      <c r="B305" s="24">
        <v>4.64283</v>
      </c>
    </row>
    <row r="306" spans="2:2">
      <c r="B306" s="24">
        <v>4.6427899999999998</v>
      </c>
    </row>
    <row r="307" spans="2:2">
      <c r="B307" s="24">
        <v>4.6428399999999996</v>
      </c>
    </row>
    <row r="308" spans="2:2">
      <c r="B308" s="24">
        <v>4.6427699999999996</v>
      </c>
    </row>
    <row r="309" spans="2:2">
      <c r="B309" s="24">
        <v>4.6427699999999996</v>
      </c>
    </row>
    <row r="310" spans="2:2">
      <c r="B310" s="24">
        <v>4.6430800000000003</v>
      </c>
    </row>
    <row r="311" spans="2:2">
      <c r="B311" s="24">
        <v>4.64276</v>
      </c>
    </row>
    <row r="312" spans="2:2">
      <c r="B312" s="24">
        <v>4.6429900000000002</v>
      </c>
    </row>
    <row r="313" spans="2:2">
      <c r="B313" s="24">
        <v>4.6428900000000004</v>
      </c>
    </row>
    <row r="314" spans="2:2">
      <c r="B314" s="24">
        <v>4.6430199999999999</v>
      </c>
    </row>
    <row r="315" spans="2:2">
      <c r="B315" s="24">
        <v>4.6430199999999999</v>
      </c>
    </row>
    <row r="316" spans="2:2">
      <c r="B316" s="24">
        <v>4.6431199999999997</v>
      </c>
    </row>
    <row r="317" spans="2:2">
      <c r="B317" s="24">
        <v>4.6430199999999999</v>
      </c>
    </row>
    <row r="318" spans="2:2">
      <c r="B318">
        <v>4.6429499999999999</v>
      </c>
    </row>
    <row r="319" spans="2:2">
      <c r="B319" s="24">
        <v>4.6430300000000004</v>
      </c>
    </row>
    <row r="320" spans="2:2">
      <c r="B320" s="24">
        <v>4.6430699999999998</v>
      </c>
    </row>
    <row r="321" spans="2:2">
      <c r="B321" s="24">
        <v>4.6431899999999997</v>
      </c>
    </row>
    <row r="322" spans="2:2">
      <c r="B322" s="24">
        <v>4.6431899999999997</v>
      </c>
    </row>
    <row r="323" spans="2:2">
      <c r="B323" s="24">
        <v>4.6427699999999996</v>
      </c>
    </row>
    <row r="324" spans="2:2">
      <c r="B324" s="24">
        <v>4.6427699999999996</v>
      </c>
    </row>
    <row r="325" spans="2:2">
      <c r="B325" s="24">
        <v>4.6430800000000003</v>
      </c>
    </row>
    <row r="326" spans="2:2">
      <c r="B326" s="24">
        <v>4.6428799999999999</v>
      </c>
    </row>
    <row r="327" spans="2:2">
      <c r="B327" s="24">
        <v>4.6429499999999999</v>
      </c>
    </row>
    <row r="328" spans="2:2">
      <c r="B328" s="24">
        <v>4.6429999999999998</v>
      </c>
    </row>
    <row r="329" spans="2:2">
      <c r="B329" s="24">
        <v>4.64297</v>
      </c>
    </row>
    <row r="330" spans="2:2">
      <c r="B330" s="24">
        <v>4.6429099999999996</v>
      </c>
    </row>
    <row r="331" spans="2:2">
      <c r="B331" s="24">
        <v>4.6429099999999996</v>
      </c>
    </row>
    <row r="332" spans="2:2">
      <c r="B332" s="24">
        <v>4.6429</v>
      </c>
    </row>
    <row r="333" spans="2:2">
      <c r="B333" s="24">
        <v>4.6431800000000001</v>
      </c>
    </row>
    <row r="334" spans="2:2">
      <c r="B334" s="24">
        <v>4.6430499999999997</v>
      </c>
    </row>
    <row r="335" spans="2:2">
      <c r="B335" s="24">
        <v>4.6429999999999998</v>
      </c>
    </row>
    <row r="336" spans="2:2">
      <c r="B336" s="24">
        <v>4.6429999999999998</v>
      </c>
    </row>
    <row r="337" spans="2:2">
      <c r="B337" s="24">
        <v>4.6428000000000003</v>
      </c>
    </row>
    <row r="338" spans="2:2">
      <c r="B338" s="24">
        <v>4.6412399999999998</v>
      </c>
    </row>
    <row r="339" spans="2:2">
      <c r="B339">
        <v>4.5046400000000002</v>
      </c>
    </row>
    <row r="340" spans="2:2">
      <c r="B340" s="24">
        <v>4.4400000000000004</v>
      </c>
    </row>
    <row r="341" spans="2:2">
      <c r="B341" s="24">
        <v>4.3726099999999999</v>
      </c>
    </row>
    <row r="342" spans="2:2">
      <c r="B342" s="24">
        <v>4.3069300000000004</v>
      </c>
    </row>
    <row r="343" spans="2:2">
      <c r="B343" s="24">
        <v>4.2866499999999998</v>
      </c>
    </row>
    <row r="344" spans="2:2">
      <c r="B344" s="24">
        <v>4.2866499999999998</v>
      </c>
    </row>
    <row r="345" spans="2:2">
      <c r="B345" s="24">
        <v>4.2865099999999998</v>
      </c>
    </row>
    <row r="346" spans="2:2">
      <c r="B346" s="24">
        <v>4.2865099999999998</v>
      </c>
    </row>
    <row r="347" spans="2:2">
      <c r="B347" s="24">
        <v>4.2865599999999997</v>
      </c>
    </row>
    <row r="348" spans="2:2">
      <c r="B348" s="24">
        <v>4.2865900000000003</v>
      </c>
    </row>
    <row r="349" spans="2:2">
      <c r="B349" s="24">
        <v>4.2866900000000001</v>
      </c>
    </row>
    <row r="350" spans="2:2">
      <c r="B350" s="24">
        <v>4.2866900000000001</v>
      </c>
    </row>
    <row r="351" spans="2:2">
      <c r="B351" s="24">
        <v>4.2859600000000002</v>
      </c>
    </row>
    <row r="352" spans="2:2">
      <c r="B352" s="24">
        <v>4.2860699999999996</v>
      </c>
    </row>
    <row r="353" spans="2:2">
      <c r="B353" s="24">
        <v>4.2859800000000003</v>
      </c>
    </row>
    <row r="354" spans="2:2">
      <c r="B354" s="24">
        <v>4.2856399999999999</v>
      </c>
    </row>
    <row r="355" spans="2:2">
      <c r="B355" s="24">
        <v>4.2856399999999999</v>
      </c>
    </row>
    <row r="356" spans="2:2">
      <c r="B356" s="24">
        <v>4.28573</v>
      </c>
    </row>
    <row r="357" spans="2:2">
      <c r="B357" s="24">
        <v>4.2855699999999999</v>
      </c>
    </row>
    <row r="358" spans="2:2">
      <c r="B358" s="24">
        <v>4.28552</v>
      </c>
    </row>
    <row r="359" spans="2:2">
      <c r="B359" s="24">
        <v>4.2856800000000002</v>
      </c>
    </row>
    <row r="360" spans="2:2">
      <c r="B360">
        <v>4.2856800000000002</v>
      </c>
    </row>
    <row r="361" spans="2:2">
      <c r="B361" s="24">
        <v>4.2856800000000002</v>
      </c>
    </row>
    <row r="362" spans="2:2">
      <c r="B362" s="24">
        <v>4.2857099999999999</v>
      </c>
    </row>
    <row r="363" spans="2:2">
      <c r="B363" s="24">
        <v>4.2858999999999998</v>
      </c>
    </row>
    <row r="364" spans="2:2">
      <c r="B364" s="24">
        <v>4.2859600000000002</v>
      </c>
    </row>
    <row r="365" spans="2:2">
      <c r="B365" s="24">
        <v>4.2856899999999998</v>
      </c>
    </row>
    <row r="366" spans="2:2">
      <c r="B366" s="24">
        <v>4.2857200000000004</v>
      </c>
    </row>
    <row r="367" spans="2:2">
      <c r="B367" s="24">
        <v>4.2857099999999999</v>
      </c>
    </row>
    <row r="368" spans="2:2">
      <c r="B368" s="24">
        <v>4.2859800000000003</v>
      </c>
    </row>
    <row r="369" spans="2:2">
      <c r="B369" s="24">
        <v>4.2859800000000003</v>
      </c>
    </row>
    <row r="370" spans="2:2">
      <c r="B370" s="24">
        <v>4.2859800000000003</v>
      </c>
    </row>
    <row r="371" spans="2:2">
      <c r="B371" s="24">
        <v>4.2857799999999999</v>
      </c>
    </row>
    <row r="372" spans="2:2">
      <c r="B372" s="24">
        <v>4.2858200000000002</v>
      </c>
    </row>
    <row r="373" spans="2:2">
      <c r="B373" s="24">
        <v>4.2859400000000001</v>
      </c>
    </row>
    <row r="374" spans="2:2">
      <c r="B374" s="24">
        <v>4.2858700000000001</v>
      </c>
    </row>
    <row r="375" spans="2:2">
      <c r="B375" s="24">
        <v>4.2858700000000001</v>
      </c>
    </row>
    <row r="376" spans="2:2">
      <c r="B376" s="24">
        <v>4.2855600000000003</v>
      </c>
    </row>
    <row r="377" spans="2:2">
      <c r="B377" s="24">
        <v>4.2858200000000002</v>
      </c>
    </row>
    <row r="378" spans="2:2">
      <c r="B378" s="24">
        <v>4.2858200000000002</v>
      </c>
    </row>
    <row r="379" spans="2:2">
      <c r="B379" s="24">
        <v>4.2856100000000001</v>
      </c>
    </row>
    <row r="380" spans="2:2">
      <c r="B380" s="24">
        <v>4.2858499999999999</v>
      </c>
    </row>
    <row r="381" spans="2:2">
      <c r="B381" s="24">
        <v>4.2857200000000004</v>
      </c>
    </row>
    <row r="382" spans="2:2">
      <c r="B382">
        <v>4.2856500000000004</v>
      </c>
    </row>
    <row r="383" spans="2:2">
      <c r="B383" s="24">
        <v>4.28552</v>
      </c>
    </row>
    <row r="384" spans="2:2">
      <c r="B384" s="24">
        <v>4.28552</v>
      </c>
    </row>
    <row r="385" spans="2:2">
      <c r="B385" s="24">
        <v>4.28573</v>
      </c>
    </row>
    <row r="386" spans="2:2">
      <c r="B386" s="24">
        <v>4.2858099999999997</v>
      </c>
    </row>
    <row r="387" spans="2:2">
      <c r="B387" s="24">
        <v>4.2852899999999998</v>
      </c>
    </row>
    <row r="388" spans="2:2">
      <c r="B388" s="24">
        <v>4.2855800000000004</v>
      </c>
    </row>
    <row r="389" spans="2:2">
      <c r="B389" s="24">
        <v>4.2854900000000002</v>
      </c>
    </row>
    <row r="390" spans="2:2">
      <c r="B390" s="24">
        <v>4.2854900000000002</v>
      </c>
    </row>
    <row r="391" spans="2:2">
      <c r="B391" s="24">
        <v>4.2858299999999998</v>
      </c>
    </row>
    <row r="392" spans="2:2">
      <c r="B392" s="24">
        <v>4.2857200000000004</v>
      </c>
    </row>
    <row r="393" spans="2:2">
      <c r="B393" s="24">
        <v>4.28559</v>
      </c>
    </row>
    <row r="394" spans="2:2">
      <c r="B394" s="24">
        <v>4.2857000000000003</v>
      </c>
    </row>
    <row r="395" spans="2:2">
      <c r="B395" s="24">
        <v>4.2857500000000002</v>
      </c>
    </row>
    <row r="396" spans="2:2">
      <c r="B396" s="24">
        <v>4.2858299999999998</v>
      </c>
    </row>
    <row r="397" spans="2:2">
      <c r="B397" s="24">
        <v>4.2856300000000003</v>
      </c>
    </row>
    <row r="398" spans="2:2">
      <c r="B398" s="24">
        <v>4.28573</v>
      </c>
    </row>
    <row r="399" spans="2:2">
      <c r="B399" s="24">
        <v>4.2857700000000003</v>
      </c>
    </row>
    <row r="400" spans="2:2">
      <c r="B400" s="24">
        <v>4.2857700000000003</v>
      </c>
    </row>
    <row r="401" spans="2:2">
      <c r="B401" s="24">
        <v>4.2859699999999998</v>
      </c>
    </row>
    <row r="402" spans="2:2">
      <c r="B402" s="24">
        <v>4.2859299999999996</v>
      </c>
    </row>
    <row r="403" spans="2:2">
      <c r="B403" s="24">
        <v>4.2859100000000003</v>
      </c>
    </row>
    <row r="404" spans="2:2">
      <c r="B404">
        <v>4.28606</v>
      </c>
    </row>
    <row r="405" spans="2:2">
      <c r="B405" s="24">
        <v>4.2857599999999998</v>
      </c>
    </row>
    <row r="406" spans="2:2">
      <c r="B406" s="24">
        <v>4.2857399999999997</v>
      </c>
    </row>
    <row r="407" spans="2:2">
      <c r="B407" s="24">
        <v>4.2857000000000003</v>
      </c>
    </row>
    <row r="408" spans="2:2">
      <c r="B408" s="24">
        <v>4.2857000000000003</v>
      </c>
    </row>
    <row r="409" spans="2:2">
      <c r="B409" s="24">
        <v>4.2838799999999999</v>
      </c>
    </row>
    <row r="410" spans="2:2">
      <c r="B410" s="24">
        <v>4.2178300000000002</v>
      </c>
    </row>
    <row r="411" spans="2:2">
      <c r="B411" s="24">
        <v>4.1518199999999998</v>
      </c>
    </row>
    <row r="412" spans="2:2">
      <c r="B412" s="24">
        <v>4.0856399999999997</v>
      </c>
    </row>
    <row r="413" spans="2:2">
      <c r="B413" s="24">
        <v>3.9527999999999999</v>
      </c>
    </row>
    <row r="414" spans="2:2">
      <c r="B414" s="24">
        <v>3.9305500000000002</v>
      </c>
    </row>
    <row r="415" spans="2:2">
      <c r="B415" s="24">
        <v>3.9305500000000002</v>
      </c>
    </row>
    <row r="416" spans="2:2">
      <c r="B416" s="24">
        <v>3.9307699999999999</v>
      </c>
    </row>
    <row r="417" spans="2:2">
      <c r="B417" s="24">
        <v>3.9304399999999999</v>
      </c>
    </row>
    <row r="418" spans="2:2">
      <c r="B418" s="24">
        <v>3.9304800000000002</v>
      </c>
    </row>
    <row r="419" spans="2:2">
      <c r="B419" s="24">
        <v>3.9306299999999998</v>
      </c>
    </row>
    <row r="420" spans="2:2">
      <c r="B420" s="24">
        <v>3.9299599999999999</v>
      </c>
    </row>
    <row r="421" spans="2:2">
      <c r="B421" s="24">
        <v>3.9287100000000001</v>
      </c>
    </row>
    <row r="422" spans="2:2">
      <c r="B422" s="24">
        <v>3.92875</v>
      </c>
    </row>
    <row r="423" spans="2:2">
      <c r="B423" s="24">
        <v>3.92875</v>
      </c>
    </row>
    <row r="424" spans="2:2">
      <c r="B424" s="24">
        <v>3.9288400000000001</v>
      </c>
    </row>
    <row r="425" spans="2:2">
      <c r="B425" s="24">
        <v>3.92876</v>
      </c>
    </row>
    <row r="426" spans="2:2">
      <c r="B426">
        <v>3.92876</v>
      </c>
    </row>
    <row r="427" spans="2:2">
      <c r="B427" s="24">
        <v>3.9285899999999998</v>
      </c>
    </row>
    <row r="428" spans="2:2">
      <c r="B428" s="24">
        <v>3.9285700000000001</v>
      </c>
    </row>
    <row r="429" spans="2:2">
      <c r="B429" s="24">
        <v>3.9285899999999998</v>
      </c>
    </row>
    <row r="430" spans="2:2">
      <c r="B430" s="24">
        <v>3.9284599999999998</v>
      </c>
    </row>
    <row r="431" spans="2:2">
      <c r="B431" s="24">
        <v>3.9284599999999998</v>
      </c>
    </row>
    <row r="432" spans="2:2">
      <c r="B432" s="24">
        <v>3.9285199999999998</v>
      </c>
    </row>
    <row r="433" spans="2:2">
      <c r="B433" s="24">
        <v>3.9287200000000002</v>
      </c>
    </row>
    <row r="434" spans="2:2">
      <c r="B434" s="24">
        <v>3.9287200000000002</v>
      </c>
    </row>
    <row r="435" spans="2:2">
      <c r="B435" s="24">
        <v>3.9287999999999998</v>
      </c>
    </row>
    <row r="436" spans="2:2">
      <c r="B436" s="24">
        <v>3.9286400000000001</v>
      </c>
    </row>
    <row r="437" spans="2:2">
      <c r="B437" s="24">
        <v>3.9287399999999999</v>
      </c>
    </row>
    <row r="438" spans="2:2">
      <c r="B438" s="24">
        <v>3.9289299999999998</v>
      </c>
    </row>
    <row r="439" spans="2:2">
      <c r="B439" s="24">
        <v>3.9286500000000002</v>
      </c>
    </row>
    <row r="440" spans="2:2">
      <c r="B440" s="24">
        <v>3.9286500000000002</v>
      </c>
    </row>
    <row r="441" spans="2:2">
      <c r="B441" s="24">
        <v>3.9286500000000002</v>
      </c>
    </row>
    <row r="442" spans="2:2">
      <c r="B442" s="24">
        <v>3.92875</v>
      </c>
    </row>
    <row r="443" spans="2:2">
      <c r="B443" s="24">
        <v>3.9285600000000001</v>
      </c>
    </row>
    <row r="444" spans="2:2">
      <c r="B444" s="24">
        <v>3.9287000000000001</v>
      </c>
    </row>
    <row r="445" spans="2:2">
      <c r="B445" s="24">
        <v>3.9286400000000001</v>
      </c>
    </row>
    <row r="446" spans="2:2">
      <c r="B446" s="24">
        <v>3.9287800000000002</v>
      </c>
    </row>
    <row r="447" spans="2:2">
      <c r="B447" s="24">
        <v>3.9285399999999999</v>
      </c>
    </row>
    <row r="448" spans="2:2">
      <c r="B448">
        <v>3.9285399999999999</v>
      </c>
    </row>
    <row r="449" spans="2:2">
      <c r="B449" s="24">
        <v>3.92869</v>
      </c>
    </row>
    <row r="450" spans="2:2">
      <c r="B450" s="24">
        <v>3.92869</v>
      </c>
    </row>
    <row r="451" spans="2:2">
      <c r="B451" s="24">
        <v>3.92876</v>
      </c>
    </row>
    <row r="452" spans="2:2">
      <c r="B452" s="24">
        <v>3.9286599999999998</v>
      </c>
    </row>
    <row r="453" spans="2:2">
      <c r="B453" s="24">
        <v>3.9285000000000001</v>
      </c>
    </row>
    <row r="454" spans="2:2">
      <c r="B454" s="24">
        <v>3.9287100000000001</v>
      </c>
    </row>
    <row r="455" spans="2:2">
      <c r="B455" s="24">
        <v>3.9285299999999999</v>
      </c>
    </row>
    <row r="456" spans="2:2">
      <c r="B456" s="24">
        <v>3.9284699999999999</v>
      </c>
    </row>
    <row r="457" spans="2:2">
      <c r="B457" s="24">
        <v>3.9284699999999999</v>
      </c>
    </row>
    <row r="458" spans="2:2">
      <c r="B458" s="24">
        <v>3.9285700000000001</v>
      </c>
    </row>
    <row r="459" spans="2:2">
      <c r="B459" s="24">
        <v>3.9285700000000001</v>
      </c>
    </row>
    <row r="460" spans="2:2">
      <c r="B460" s="24">
        <v>3.9286500000000002</v>
      </c>
    </row>
    <row r="461" spans="2:2">
      <c r="B461" s="24">
        <v>3.92875</v>
      </c>
    </row>
    <row r="462" spans="2:2">
      <c r="B462" s="24">
        <v>3.9287100000000001</v>
      </c>
    </row>
    <row r="463" spans="2:2">
      <c r="B463" s="24">
        <v>3.9287800000000002</v>
      </c>
    </row>
    <row r="464" spans="2:2">
      <c r="B464" s="24">
        <v>3.92869</v>
      </c>
    </row>
    <row r="465" spans="2:2">
      <c r="B465" s="24">
        <v>3.92869</v>
      </c>
    </row>
    <row r="466" spans="2:2">
      <c r="B466" s="24">
        <v>3.9285600000000001</v>
      </c>
    </row>
    <row r="467" spans="2:2">
      <c r="B467" s="24">
        <v>3.9285600000000001</v>
      </c>
    </row>
    <row r="468" spans="2:2">
      <c r="B468" s="24">
        <v>3.9287100000000001</v>
      </c>
    </row>
    <row r="469" spans="2:2">
      <c r="B469" s="24">
        <v>3.9287100000000001</v>
      </c>
    </row>
    <row r="470" spans="2:2">
      <c r="B470">
        <v>3.9285800000000002</v>
      </c>
    </row>
    <row r="471" spans="2:2">
      <c r="B471" s="24">
        <v>3.9287700000000001</v>
      </c>
    </row>
    <row r="472" spans="2:2">
      <c r="B472" s="24">
        <v>3.9287899999999998</v>
      </c>
    </row>
    <row r="473" spans="2:2">
      <c r="B473" s="24">
        <v>3.9286099999999999</v>
      </c>
    </row>
    <row r="474" spans="2:2">
      <c r="B474" s="24">
        <v>3.9285999999999999</v>
      </c>
    </row>
    <row r="475" spans="2:2">
      <c r="B475" s="24">
        <v>3.9285999999999999</v>
      </c>
    </row>
    <row r="476" spans="2:2">
      <c r="B476" s="24">
        <v>3.9285999999999999</v>
      </c>
    </row>
    <row r="477" spans="2:2">
      <c r="B477" s="24">
        <v>3.9287700000000001</v>
      </c>
    </row>
    <row r="478" spans="2:2">
      <c r="B478" s="24">
        <v>3.9287899999999998</v>
      </c>
    </row>
    <row r="479" spans="2:2">
      <c r="B479" s="24">
        <v>3.9287000000000001</v>
      </c>
    </row>
    <row r="480" spans="2:2">
      <c r="B480" s="24">
        <v>3.9285600000000001</v>
      </c>
    </row>
    <row r="481" spans="2:2">
      <c r="B481" s="24">
        <v>3.9285999999999999</v>
      </c>
    </row>
    <row r="482" spans="2:2">
      <c r="B482" s="24">
        <v>3.9285999999999999</v>
      </c>
    </row>
    <row r="483" spans="2:2">
      <c r="B483" s="24">
        <v>3.92855</v>
      </c>
    </row>
    <row r="484" spans="2:2">
      <c r="B484" s="24">
        <v>3.92855</v>
      </c>
    </row>
    <row r="485" spans="2:2">
      <c r="B485" s="24">
        <v>3.8434699999999999</v>
      </c>
    </row>
    <row r="486" spans="2:2">
      <c r="B486" s="24">
        <v>3.7780399999999998</v>
      </c>
    </row>
    <row r="487" spans="2:2">
      <c r="B487" s="24">
        <v>3.7123300000000001</v>
      </c>
    </row>
    <row r="488" spans="2:2">
      <c r="B488" s="24">
        <v>3.6468799999999999</v>
      </c>
    </row>
    <row r="489" spans="2:2">
      <c r="B489" s="24">
        <v>3.5746600000000002</v>
      </c>
    </row>
    <row r="490" spans="2:2">
      <c r="B490" s="24">
        <v>3.5746899999999999</v>
      </c>
    </row>
    <row r="491" spans="2:2">
      <c r="B491" s="24">
        <v>3.5746899999999999</v>
      </c>
    </row>
    <row r="492" spans="2:2">
      <c r="B492">
        <v>3.5746600000000002</v>
      </c>
    </row>
    <row r="493" spans="2:2">
      <c r="B493" s="24">
        <v>3.5746600000000002</v>
      </c>
    </row>
    <row r="494" spans="2:2">
      <c r="B494" s="24">
        <v>3.5748099999999998</v>
      </c>
    </row>
    <row r="495" spans="2:2">
      <c r="B495" s="24">
        <v>3.5748099999999998</v>
      </c>
    </row>
    <row r="496" spans="2:2">
      <c r="B496" s="24">
        <v>3.5720999999999998</v>
      </c>
    </row>
    <row r="497" spans="2:2">
      <c r="B497" s="24">
        <v>3.5713200000000001</v>
      </c>
    </row>
    <row r="498" spans="2:2">
      <c r="B498" s="24">
        <v>3.5714999999999999</v>
      </c>
    </row>
    <row r="499" spans="2:2">
      <c r="B499" s="24">
        <v>3.5714999999999999</v>
      </c>
    </row>
    <row r="500" spans="2:2">
      <c r="B500" s="24">
        <v>3.5714199999999998</v>
      </c>
    </row>
    <row r="501" spans="2:2">
      <c r="B501" s="24">
        <v>3.5715499999999998</v>
      </c>
    </row>
    <row r="502" spans="2:2">
      <c r="B502" s="24">
        <v>3.5715499999999998</v>
      </c>
    </row>
    <row r="503" spans="2:2">
      <c r="B503" s="24">
        <v>3.5713499999999998</v>
      </c>
    </row>
    <row r="504" spans="2:2">
      <c r="B504" s="24">
        <v>3.5714800000000002</v>
      </c>
    </row>
    <row r="505" spans="2:2">
      <c r="B505" s="24">
        <v>3.5715599999999998</v>
      </c>
    </row>
    <row r="506" spans="2:2">
      <c r="B506" s="24">
        <v>3.5714999999999999</v>
      </c>
    </row>
    <row r="507" spans="2:2">
      <c r="B507" s="24">
        <v>3.57172</v>
      </c>
    </row>
    <row r="508" spans="2:2">
      <c r="B508" s="24">
        <v>3.57172</v>
      </c>
    </row>
    <row r="509" spans="2:2">
      <c r="B509" s="24">
        <v>3.5713499999999998</v>
      </c>
    </row>
    <row r="510" spans="2:2">
      <c r="B510" s="24">
        <v>3.5714999999999999</v>
      </c>
    </row>
    <row r="511" spans="2:2">
      <c r="B511" s="24">
        <v>3.5714999999999999</v>
      </c>
    </row>
    <row r="512" spans="2:2">
      <c r="B512" s="24">
        <v>3.5714800000000002</v>
      </c>
    </row>
    <row r="513" spans="2:2">
      <c r="B513" s="24">
        <v>3.5714999999999999</v>
      </c>
    </row>
    <row r="514" spans="2:2">
      <c r="B514">
        <v>3.57159</v>
      </c>
    </row>
    <row r="515" spans="2:2">
      <c r="B515" s="24">
        <v>3.57158</v>
      </c>
    </row>
    <row r="516" spans="2:2">
      <c r="B516" s="24">
        <v>3.57159</v>
      </c>
    </row>
    <row r="517" spans="2:2">
      <c r="B517" s="24">
        <v>3.57159</v>
      </c>
    </row>
    <row r="518" spans="2:2">
      <c r="B518" s="24">
        <v>3.57151</v>
      </c>
    </row>
    <row r="519" spans="2:2">
      <c r="B519" s="24">
        <v>3.5716100000000002</v>
      </c>
    </row>
    <row r="520" spans="2:2">
      <c r="B520" s="24">
        <v>3.5716100000000002</v>
      </c>
    </row>
    <row r="521" spans="2:2">
      <c r="B521" s="24">
        <v>3.57165</v>
      </c>
    </row>
    <row r="522" spans="2:2">
      <c r="B522" s="24">
        <v>3.5712100000000002</v>
      </c>
    </row>
    <row r="523" spans="2:2">
      <c r="B523" s="24">
        <v>3.5714700000000001</v>
      </c>
    </row>
    <row r="524" spans="2:2">
      <c r="B524" s="24">
        <v>3.5712999999999999</v>
      </c>
    </row>
    <row r="525" spans="2:2">
      <c r="B525" s="24">
        <v>3.5712999999999999</v>
      </c>
    </row>
    <row r="526" spans="2:2">
      <c r="B526" s="24">
        <v>3.57145</v>
      </c>
    </row>
    <row r="527" spans="2:2">
      <c r="B527" s="24">
        <v>3.57145</v>
      </c>
    </row>
    <row r="528" spans="2:2">
      <c r="B528" s="24">
        <v>3.57145</v>
      </c>
    </row>
    <row r="529" spans="2:2">
      <c r="B529" s="24">
        <v>3.5712600000000001</v>
      </c>
    </row>
    <row r="530" spans="2:2">
      <c r="B530" s="24">
        <v>3.57159</v>
      </c>
    </row>
    <row r="531" spans="2:2">
      <c r="B531" s="24">
        <v>3.5714899999999998</v>
      </c>
    </row>
    <row r="532" spans="2:2">
      <c r="B532" s="24">
        <v>3.5714700000000001</v>
      </c>
    </row>
    <row r="533" spans="2:2">
      <c r="B533" s="24">
        <v>3.5714700000000001</v>
      </c>
    </row>
    <row r="534" spans="2:2">
      <c r="B534" s="24">
        <v>3.57138</v>
      </c>
    </row>
    <row r="535" spans="2:2">
      <c r="B535" s="24">
        <v>3.5713400000000002</v>
      </c>
    </row>
    <row r="536" spans="2:2">
      <c r="B536">
        <v>3.5713400000000002</v>
      </c>
    </row>
    <row r="537" spans="2:2">
      <c r="B537" s="24">
        <v>3.5714100000000002</v>
      </c>
    </row>
    <row r="538" spans="2:2">
      <c r="B538" s="24">
        <v>3.5714800000000002</v>
      </c>
    </row>
    <row r="539" spans="2:2">
      <c r="B539" s="24">
        <v>3.57158</v>
      </c>
    </row>
    <row r="540" spans="2:2">
      <c r="B540" s="24">
        <v>3.57158</v>
      </c>
    </row>
    <row r="541" spans="2:2">
      <c r="B541" s="24">
        <v>3.57159</v>
      </c>
    </row>
    <row r="542" spans="2:2">
      <c r="B542" s="24">
        <v>3.5715699999999999</v>
      </c>
    </row>
    <row r="543" spans="2:2">
      <c r="B543" s="24">
        <v>3.57145</v>
      </c>
    </row>
    <row r="544" spans="2:2">
      <c r="B544" s="24">
        <v>3.5715699999999999</v>
      </c>
    </row>
    <row r="545" spans="2:2">
      <c r="B545" s="24">
        <v>3.5715400000000002</v>
      </c>
    </row>
    <row r="546" spans="2:2">
      <c r="B546" s="24">
        <v>3.5713599999999999</v>
      </c>
    </row>
    <row r="547" spans="2:2">
      <c r="B547" s="24">
        <v>3.5713599999999999</v>
      </c>
    </row>
    <row r="548" spans="2:2">
      <c r="B548" s="24">
        <v>3.57151</v>
      </c>
    </row>
    <row r="549" spans="2:2">
      <c r="B549" s="24">
        <v>3.5717400000000001</v>
      </c>
    </row>
    <row r="550" spans="2:2">
      <c r="B550" s="24">
        <v>3.5716600000000001</v>
      </c>
    </row>
    <row r="551" spans="2:2">
      <c r="B551" s="24">
        <v>3.5716700000000001</v>
      </c>
    </row>
    <row r="552" spans="2:2">
      <c r="B552" s="24">
        <v>3.5716600000000001</v>
      </c>
    </row>
    <row r="553" spans="2:2">
      <c r="B553" s="24">
        <v>3.5716999999999999</v>
      </c>
    </row>
    <row r="554" spans="2:2">
      <c r="B554" s="24">
        <v>3.57159</v>
      </c>
    </row>
    <row r="555" spans="2:2">
      <c r="B555" s="24">
        <v>3.5713599999999999</v>
      </c>
    </row>
    <row r="556" spans="2:2">
      <c r="B556" s="24">
        <v>3.5713599999999999</v>
      </c>
    </row>
    <row r="557" spans="2:2">
      <c r="B557" s="24">
        <v>3.5714999999999999</v>
      </c>
    </row>
    <row r="558" spans="2:2">
      <c r="B558">
        <v>3.5714700000000001</v>
      </c>
    </row>
    <row r="559" spans="2:2">
      <c r="B559" s="24">
        <v>3.44136</v>
      </c>
    </row>
    <row r="560" spans="2:2">
      <c r="B560" s="24">
        <v>3.44136</v>
      </c>
    </row>
    <row r="561" spans="2:2">
      <c r="B561" s="24">
        <v>3.3757999999999999</v>
      </c>
    </row>
    <row r="562" spans="2:2">
      <c r="B562" s="24">
        <v>3.3106900000000001</v>
      </c>
    </row>
    <row r="563" spans="2:2">
      <c r="B563" s="24">
        <v>3.3106900000000001</v>
      </c>
    </row>
    <row r="564" spans="2:2">
      <c r="B564" s="24">
        <v>3.21827</v>
      </c>
    </row>
    <row r="565" spans="2:2">
      <c r="B565" s="24">
        <v>3.2185800000000002</v>
      </c>
    </row>
    <row r="566" spans="2:2">
      <c r="B566" s="24">
        <v>3.2184300000000001</v>
      </c>
    </row>
    <row r="567" spans="2:2">
      <c r="B567" s="24">
        <v>3.2186300000000001</v>
      </c>
    </row>
    <row r="568" spans="2:2">
      <c r="B568" s="24">
        <v>3.2184599999999999</v>
      </c>
    </row>
    <row r="569" spans="2:2">
      <c r="B569" s="24">
        <v>3.2184599999999999</v>
      </c>
    </row>
    <row r="570" spans="2:2">
      <c r="B570" s="24">
        <v>3.2184599999999999</v>
      </c>
    </row>
    <row r="571" spans="2:2">
      <c r="B571" s="24">
        <v>3.2184599999999999</v>
      </c>
    </row>
    <row r="572" spans="2:2">
      <c r="B572" s="24">
        <v>3.21841</v>
      </c>
    </row>
    <row r="573" spans="2:2">
      <c r="B573" s="24">
        <v>3.2141999999999999</v>
      </c>
    </row>
    <row r="574" spans="2:2">
      <c r="B574" s="24">
        <v>3.21427</v>
      </c>
    </row>
    <row r="575" spans="2:2">
      <c r="B575" s="24">
        <v>3.2141500000000001</v>
      </c>
    </row>
    <row r="576" spans="2:2">
      <c r="B576" s="24">
        <v>3.21435</v>
      </c>
    </row>
    <row r="577" spans="2:2">
      <c r="B577" s="24">
        <v>3.2143099999999998</v>
      </c>
    </row>
    <row r="578" spans="2:2">
      <c r="B578" s="24">
        <v>3.2143099999999998</v>
      </c>
    </row>
    <row r="579" spans="2:2">
      <c r="B579" s="24">
        <v>3.2143099999999998</v>
      </c>
    </row>
    <row r="580" spans="2:2">
      <c r="B580">
        <v>3.2145100000000002</v>
      </c>
    </row>
    <row r="581" spans="2:2">
      <c r="B581" s="24">
        <v>3.2144900000000001</v>
      </c>
    </row>
    <row r="582" spans="2:2">
      <c r="B582" s="24">
        <v>3.2144300000000001</v>
      </c>
    </row>
    <row r="583" spans="2:2">
      <c r="B583" s="24">
        <v>3.2145199999999998</v>
      </c>
    </row>
    <row r="584" spans="2:2">
      <c r="B584" s="24">
        <v>3.2145199999999998</v>
      </c>
    </row>
    <row r="585" spans="2:2">
      <c r="B585" s="24">
        <v>3.2144900000000001</v>
      </c>
    </row>
    <row r="586" spans="2:2">
      <c r="B586" s="24">
        <v>3.2144900000000001</v>
      </c>
    </row>
    <row r="587" spans="2:2">
      <c r="B587" s="24">
        <v>3.21428</v>
      </c>
    </row>
    <row r="588" spans="2:2">
      <c r="B588" s="24">
        <v>3.21428</v>
      </c>
    </row>
    <row r="589" spans="2:2">
      <c r="B589" s="24">
        <v>3.2144400000000002</v>
      </c>
    </row>
    <row r="590" spans="2:2">
      <c r="B590" s="24">
        <v>3.2144200000000001</v>
      </c>
    </row>
    <row r="591" spans="2:2">
      <c r="B591" s="24">
        <v>3.2142900000000001</v>
      </c>
    </row>
    <row r="592" spans="2:2">
      <c r="B592" s="24">
        <v>3.2142900000000001</v>
      </c>
    </row>
    <row r="593" spans="2:2">
      <c r="B593" s="24">
        <v>3.21441</v>
      </c>
    </row>
    <row r="594" spans="2:2">
      <c r="B594" s="24">
        <v>3.2144499999999998</v>
      </c>
    </row>
    <row r="595" spans="2:2">
      <c r="B595" s="24">
        <v>3.2143299999999999</v>
      </c>
    </row>
    <row r="596" spans="2:2">
      <c r="B596" s="24">
        <v>3.2143600000000001</v>
      </c>
    </row>
    <row r="597" spans="2:2">
      <c r="B597" s="24">
        <v>3.2143600000000001</v>
      </c>
    </row>
    <row r="598" spans="2:2">
      <c r="B598" s="24">
        <v>3.2144900000000001</v>
      </c>
    </row>
    <row r="602" spans="2:2">
      <c r="B60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>
    <tabColor theme="0"/>
  </sheetPr>
  <dimension ref="A1:V241"/>
  <sheetViews>
    <sheetView showGridLines="0" showRowColHeaders="0" showRuler="0" showWhiteSpace="0" view="pageLayout" topLeftCell="A226" zoomScaleNormal="100" workbookViewId="0">
      <selection activeCell="A11" sqref="A11:I11"/>
    </sheetView>
  </sheetViews>
  <sheetFormatPr defaultRowHeight="15"/>
  <cols>
    <col min="1" max="1" width="5.5703125" customWidth="1"/>
    <col min="2" max="2" width="9.28515625" customWidth="1"/>
    <col min="3" max="3" width="13.85546875" customWidth="1"/>
    <col min="4" max="4" width="12.42578125" bestFit="1" customWidth="1"/>
    <col min="5" max="5" width="12.140625" bestFit="1" customWidth="1"/>
    <col min="6" max="6" width="17.85546875" bestFit="1" customWidth="1"/>
    <col min="7" max="7" width="10.85546875" bestFit="1" customWidth="1"/>
    <col min="8" max="8" width="8.7109375" customWidth="1"/>
    <col min="9" max="9" width="4.85546875" customWidth="1"/>
    <col min="10" max="10" width="2.7109375" style="9" customWidth="1"/>
    <col min="11" max="11" width="20.42578125" bestFit="1" customWidth="1"/>
    <col min="12" max="12" width="12.28515625" bestFit="1" customWidth="1"/>
    <col min="13" max="13" width="12" bestFit="1" customWidth="1"/>
    <col min="14" max="14" width="15.7109375" bestFit="1" customWidth="1"/>
    <col min="15" max="15" width="10.5703125" bestFit="1" customWidth="1"/>
  </cols>
  <sheetData>
    <row r="1" spans="1:22" ht="15" customHeight="1">
      <c r="C1" s="14"/>
      <c r="D1" s="14"/>
      <c r="E1" s="14"/>
      <c r="F1" s="14"/>
      <c r="G1" s="14"/>
      <c r="H1" s="14"/>
      <c r="I1" s="14"/>
      <c r="J1" s="14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5" customHeight="1">
      <c r="C2" s="28"/>
      <c r="D2" s="28"/>
      <c r="E2" s="28"/>
      <c r="F2" s="28"/>
      <c r="G2" s="28"/>
      <c r="H2" s="28"/>
      <c r="I2" s="28"/>
      <c r="J2" s="14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</row>
    <row r="3" spans="1:22" ht="15" customHeight="1">
      <c r="A3" s="109" t="s">
        <v>30</v>
      </c>
      <c r="B3" s="110"/>
      <c r="C3" s="110"/>
      <c r="D3" s="110"/>
      <c r="E3" s="110"/>
      <c r="F3" s="110"/>
      <c r="G3" s="110"/>
      <c r="H3" s="110"/>
      <c r="I3" s="111"/>
      <c r="J3" s="15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</row>
    <row r="4" spans="1:22" ht="15" customHeight="1">
      <c r="C4" s="14"/>
      <c r="D4" s="14"/>
      <c r="E4" s="14"/>
      <c r="F4" s="14"/>
      <c r="G4" s="14"/>
      <c r="H4" s="14"/>
      <c r="I4" s="14"/>
      <c r="J4" s="15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</row>
    <row r="5" spans="1:22" ht="15" customHeight="1">
      <c r="A5" s="104" t="s">
        <v>9</v>
      </c>
      <c r="B5" s="104"/>
      <c r="C5" s="104"/>
      <c r="D5" s="104"/>
      <c r="E5" s="104"/>
      <c r="F5" s="104"/>
      <c r="G5" s="104"/>
      <c r="H5" s="104"/>
      <c r="I5" s="104"/>
      <c r="J5" s="15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2" ht="15" customHeight="1">
      <c r="A6" s="104" t="s">
        <v>10</v>
      </c>
      <c r="B6" s="104"/>
      <c r="C6" s="105" t="s">
        <v>44</v>
      </c>
      <c r="D6" s="105"/>
      <c r="E6" s="105"/>
      <c r="F6" s="105"/>
      <c r="G6" s="105"/>
      <c r="H6" s="105"/>
      <c r="I6" s="105"/>
      <c r="J6" s="15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spans="1:22" ht="15" customHeight="1">
      <c r="A7" s="104" t="s">
        <v>11</v>
      </c>
      <c r="B7" s="104"/>
      <c r="C7" s="105" t="s">
        <v>40</v>
      </c>
      <c r="D7" s="105"/>
      <c r="E7" s="105"/>
      <c r="F7" s="105"/>
      <c r="G7" s="105"/>
      <c r="H7" s="105"/>
      <c r="I7" s="105"/>
      <c r="J7" s="15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 ht="15" customHeight="1">
      <c r="A8" s="104" t="s">
        <v>12</v>
      </c>
      <c r="B8" s="104"/>
      <c r="C8" s="105" t="s">
        <v>42</v>
      </c>
      <c r="D8" s="105"/>
      <c r="E8" s="105"/>
      <c r="F8" s="105"/>
      <c r="G8" s="34" t="s">
        <v>14</v>
      </c>
      <c r="H8" s="105" t="s">
        <v>41</v>
      </c>
      <c r="I8" s="105"/>
      <c r="J8" s="15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 ht="15" customHeight="1">
      <c r="A9" s="104" t="s">
        <v>13</v>
      </c>
      <c r="B9" s="104"/>
      <c r="C9" s="105" t="s">
        <v>43</v>
      </c>
      <c r="D9" s="105"/>
      <c r="E9" s="105"/>
      <c r="F9" s="105"/>
      <c r="G9" s="105"/>
      <c r="H9" s="105"/>
      <c r="I9" s="105"/>
      <c r="J9" s="15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 ht="15" customHeight="1">
      <c r="A10" s="113"/>
      <c r="B10" s="113"/>
      <c r="C10" s="113"/>
      <c r="D10" s="113"/>
      <c r="E10" s="113"/>
      <c r="F10" s="113"/>
      <c r="G10" s="113"/>
      <c r="H10" s="113"/>
      <c r="I10" s="113"/>
      <c r="J10" s="15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 ht="48" customHeight="1">
      <c r="A11" s="104" t="s">
        <v>15</v>
      </c>
      <c r="B11" s="104"/>
      <c r="C11" s="104"/>
      <c r="D11" s="104"/>
      <c r="E11" s="104"/>
      <c r="F11" s="104"/>
      <c r="G11" s="104"/>
      <c r="H11" s="104"/>
      <c r="I11" s="104"/>
      <c r="J11" s="15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 ht="13.5" customHeight="1">
      <c r="A12" s="104" t="s">
        <v>16</v>
      </c>
      <c r="B12" s="104"/>
      <c r="C12" s="104"/>
      <c r="D12" s="105" t="s">
        <v>37</v>
      </c>
      <c r="E12" s="105"/>
      <c r="F12" s="105"/>
      <c r="G12" s="34" t="s">
        <v>18</v>
      </c>
      <c r="H12" s="105" t="s">
        <v>38</v>
      </c>
      <c r="I12" s="105"/>
      <c r="J12" s="15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ht="13.5" customHeight="1">
      <c r="A13" s="115" t="s">
        <v>17</v>
      </c>
      <c r="B13" s="115"/>
      <c r="C13" s="115"/>
      <c r="D13" s="105" t="s">
        <v>39</v>
      </c>
      <c r="E13" s="105"/>
      <c r="F13" s="105"/>
      <c r="G13" s="105"/>
      <c r="H13" s="105"/>
      <c r="I13" s="105"/>
      <c r="J13" s="15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>
      <c r="A14" s="29"/>
      <c r="B14" s="29"/>
      <c r="C14" s="29"/>
      <c r="D14" s="28"/>
      <c r="E14" s="41" t="s">
        <v>20</v>
      </c>
      <c r="F14" s="43" t="s">
        <v>31</v>
      </c>
      <c r="G14" s="105" t="s">
        <v>26</v>
      </c>
      <c r="H14" s="105"/>
      <c r="I14" s="35" t="str">
        <f>RIGHT(Menu!H18,3)</f>
        <v>psi</v>
      </c>
      <c r="J14" s="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16"/>
      <c r="B15" s="16"/>
      <c r="C15" s="16"/>
      <c r="D15" s="15"/>
      <c r="E15" s="15"/>
      <c r="F15" s="15"/>
      <c r="G15" s="15"/>
      <c r="H15" s="15"/>
      <c r="I15" s="1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C16" s="14"/>
      <c r="D16" s="14"/>
      <c r="E16" s="14"/>
      <c r="F16" s="14"/>
      <c r="G16" s="14"/>
      <c r="H16" s="14"/>
      <c r="I16" s="14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2:22">
      <c r="B17" s="114" t="s">
        <v>19</v>
      </c>
      <c r="C17" s="114"/>
      <c r="D17" s="114"/>
      <c r="E17" s="114"/>
      <c r="F17" s="114"/>
      <c r="G17" s="114"/>
      <c r="H17" s="114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2:22" ht="30">
      <c r="B18" s="34" t="s">
        <v>20</v>
      </c>
      <c r="C18" s="36" t="s">
        <v>21</v>
      </c>
      <c r="D18" s="36" t="s">
        <v>22</v>
      </c>
      <c r="E18" s="36" t="s">
        <v>23</v>
      </c>
      <c r="F18" s="36" t="s">
        <v>24</v>
      </c>
      <c r="G18" s="36" t="s">
        <v>25</v>
      </c>
      <c r="H18" s="42" t="s">
        <v>32</v>
      </c>
      <c r="I18" s="7"/>
    </row>
    <row r="19" spans="2:22">
      <c r="B19" s="37"/>
      <c r="C19" s="39">
        <f>STDEV(dados!B2:B61)</f>
        <v>0.16103816231015652</v>
      </c>
      <c r="D19" s="38">
        <f>MAX(dados!B2:B61)</f>
        <v>4.2860100000000001</v>
      </c>
      <c r="E19" s="38">
        <f>MIN(dados!B2:B61)</f>
        <v>3.9282599999999999</v>
      </c>
      <c r="F19" s="38">
        <f>(D19-E19)/2</f>
        <v>0.17887500000000012</v>
      </c>
      <c r="G19" s="38">
        <f>AVERAGE(dados!B2:B61)</f>
        <v>4.0415546666666655</v>
      </c>
      <c r="H19" s="38">
        <f>2*C19</f>
        <v>0.32207632462031305</v>
      </c>
      <c r="I19" s="7"/>
      <c r="P19" s="7"/>
    </row>
    <row r="20" spans="2:22">
      <c r="B20" s="37"/>
      <c r="C20" s="39">
        <f>STDEV(dados!B62:B121)</f>
        <v>8.1467255461466145E-2</v>
      </c>
      <c r="D20" s="38">
        <f>MAX(dados!B62:B121)</f>
        <v>4.6402799999999997</v>
      </c>
      <c r="E20" s="38">
        <f>MIN(dados!B62:B121)</f>
        <v>4.2855699999999999</v>
      </c>
      <c r="F20" s="38">
        <f t="shared" ref="F20:F28" si="0">(D20-E20)/2</f>
        <v>0.17735499999999993</v>
      </c>
      <c r="G20" s="38">
        <f>AVERAGE(dados!B62:B121)</f>
        <v>4.3099683333333338</v>
      </c>
      <c r="H20" s="38">
        <f t="shared" ref="H20:H28" si="1">2*C20</f>
        <v>0.16293451092293229</v>
      </c>
      <c r="L20" s="7"/>
      <c r="M20" s="7"/>
      <c r="N20" s="7"/>
      <c r="O20" s="7"/>
      <c r="P20" s="7"/>
    </row>
    <row r="21" spans="2:22">
      <c r="B21" s="37"/>
      <c r="C21" s="39">
        <f>STDEV(dados!B122:B181)</f>
        <v>7.8003324570610907E-4</v>
      </c>
      <c r="D21" s="38">
        <f>MAX(dados!B122:B181)</f>
        <v>4.6431899999999997</v>
      </c>
      <c r="E21" s="38">
        <f>MIN(dados!B122:B181)</f>
        <v>4.6402799999999997</v>
      </c>
      <c r="F21" s="38">
        <f>(D21-E21)/2</f>
        <v>1.4549999999999841E-3</v>
      </c>
      <c r="G21" s="38">
        <f>AVERAGE(dados!B122:B181)</f>
        <v>4.6426769999999982</v>
      </c>
      <c r="H21" s="38">
        <f t="shared" si="1"/>
        <v>1.5600664914122181E-3</v>
      </c>
    </row>
    <row r="22" spans="2:22">
      <c r="B22" s="37"/>
      <c r="C22" s="39">
        <f>STDEV(dados!B182:B241)</f>
        <v>0.11893543903397231</v>
      </c>
      <c r="D22" s="38">
        <f>MAX(dados!B182:B241)</f>
        <v>5.0003399999999996</v>
      </c>
      <c r="E22" s="38">
        <f>MIN(dados!B182:B241)</f>
        <v>4.6428000000000003</v>
      </c>
      <c r="F22" s="38">
        <f t="shared" si="0"/>
        <v>0.17876999999999965</v>
      </c>
      <c r="G22" s="38">
        <f>AVERAGE(dados!B182:B241)</f>
        <v>4.9496616666666657</v>
      </c>
      <c r="H22" s="38">
        <f t="shared" si="1"/>
        <v>0.23787087806794463</v>
      </c>
    </row>
    <row r="23" spans="2:22">
      <c r="B23" s="37"/>
      <c r="C23" s="39">
        <f>STDEV(dados!B242:B301)</f>
        <v>0.16828910330759894</v>
      </c>
      <c r="D23" s="38">
        <f>MAX(dados!B242:B301)</f>
        <v>5.0001499999999997</v>
      </c>
      <c r="E23" s="38">
        <f>MIN(dados!B242:B301)</f>
        <v>4.6421200000000002</v>
      </c>
      <c r="F23" s="38">
        <f t="shared" si="0"/>
        <v>0.1790149999999997</v>
      </c>
      <c r="G23" s="38">
        <f>AVERAGE(dados!B242:B301)</f>
        <v>4.7736383333333343</v>
      </c>
      <c r="H23" s="38">
        <f t="shared" si="1"/>
        <v>0.33657820661519788</v>
      </c>
    </row>
    <row r="24" spans="2:22">
      <c r="B24" s="37"/>
      <c r="C24" s="39">
        <f>STDEV(dados!B302:B361)</f>
        <v>0.16824602839134872</v>
      </c>
      <c r="D24" s="38">
        <f>MAX(dados!B302:B361)</f>
        <v>4.6432099999999998</v>
      </c>
      <c r="E24" s="38">
        <f>MIN(dados!B302:B361)</f>
        <v>4.28552</v>
      </c>
      <c r="F24" s="38">
        <f t="shared" si="0"/>
        <v>0.17884499999999992</v>
      </c>
      <c r="G24" s="38">
        <f>AVERAGE(dados!B302:B361)</f>
        <v>4.5141318333333338</v>
      </c>
      <c r="H24" s="38"/>
    </row>
    <row r="25" spans="2:22">
      <c r="B25" s="37"/>
      <c r="C25" s="39">
        <f>STDEV(dados!B362:B421)</f>
        <v>0.12827221600252242</v>
      </c>
      <c r="D25" s="38">
        <f>MAX(dados!B362:B421)</f>
        <v>4.28606</v>
      </c>
      <c r="E25" s="38">
        <f>MIN(dados!B362:B421)</f>
        <v>3.9287100000000001</v>
      </c>
      <c r="F25" s="38">
        <f t="shared" si="0"/>
        <v>0.17867499999999992</v>
      </c>
      <c r="G25" s="38">
        <f>AVERAGE(dados!B362:B421)</f>
        <v>4.2260753333333341</v>
      </c>
      <c r="H25" s="38"/>
    </row>
    <row r="26" spans="2:22">
      <c r="B26" s="37"/>
      <c r="C26" s="39">
        <f>STDEV(dados!B422:B481)</f>
        <v>1.0462793914496295E-4</v>
      </c>
      <c r="D26" s="38">
        <f>MAX(dados!B422:B481)</f>
        <v>3.9289299999999998</v>
      </c>
      <c r="E26" s="38">
        <f>MIN(dados!B422:B481)</f>
        <v>3.9284599999999998</v>
      </c>
      <c r="F26" s="38">
        <f t="shared" si="0"/>
        <v>2.3499999999998522E-4</v>
      </c>
      <c r="G26" s="38">
        <f>AVERAGE(dados!B422:B481)</f>
        <v>3.9286576666666657</v>
      </c>
      <c r="H26" s="38">
        <f t="shared" si="1"/>
        <v>2.0925587828992591E-4</v>
      </c>
    </row>
    <row r="27" spans="2:22">
      <c r="B27" s="37"/>
      <c r="C27" s="39">
        <f>STDEV(dados!B482:B541)</f>
        <v>8.9386043224198242E-2</v>
      </c>
      <c r="D27" s="38">
        <f>MAX(dados!B482:B541)</f>
        <v>3.9285999999999999</v>
      </c>
      <c r="E27" s="38">
        <f>MIN(dados!B482:B541)</f>
        <v>3.5712100000000002</v>
      </c>
      <c r="F27" s="38">
        <f t="shared" si="0"/>
        <v>0.17869499999999983</v>
      </c>
      <c r="G27" s="38">
        <f>AVERAGE(dados!B482:B541)</f>
        <v>3.6013056666666667</v>
      </c>
      <c r="H27" s="38">
        <f t="shared" si="1"/>
        <v>0.17877208644839648</v>
      </c>
    </row>
    <row r="28" spans="2:22">
      <c r="B28" s="37"/>
      <c r="C28" s="38">
        <f>STDEV(dados!B542:B601)</f>
        <v>0.16240933203258923</v>
      </c>
      <c r="D28" s="38">
        <f>MAX(dados!B542:B601)</f>
        <v>3.5717400000000001</v>
      </c>
      <c r="E28" s="38">
        <f>MIN(dados!B542:B601)</f>
        <v>3.2141500000000001</v>
      </c>
      <c r="F28" s="38">
        <f t="shared" si="0"/>
        <v>0.17879500000000004</v>
      </c>
      <c r="G28" s="38">
        <f>AVERAGE(dados!B542:B601)</f>
        <v>3.3357171929824556</v>
      </c>
      <c r="H28" s="38">
        <f t="shared" si="1"/>
        <v>0.32481866406517845</v>
      </c>
    </row>
    <row r="29" spans="2:22">
      <c r="B29" s="27"/>
      <c r="C29" s="31"/>
      <c r="D29" s="32"/>
      <c r="E29" s="33"/>
      <c r="F29" s="33"/>
      <c r="G29" s="33"/>
      <c r="H29" s="33"/>
    </row>
    <row r="30" spans="2:22">
      <c r="B30" s="27"/>
      <c r="C30" s="27"/>
      <c r="D30" s="30"/>
      <c r="E30" s="27"/>
      <c r="F30" s="27"/>
      <c r="G30" s="27"/>
      <c r="H30" s="27"/>
    </row>
    <row r="31" spans="2:22">
      <c r="B31" s="27"/>
      <c r="C31" s="107" t="s">
        <v>27</v>
      </c>
      <c r="D31" s="107"/>
      <c r="E31" s="27"/>
      <c r="F31" s="107" t="s">
        <v>28</v>
      </c>
      <c r="G31" s="107"/>
      <c r="H31" s="27"/>
    </row>
    <row r="32" spans="2:22">
      <c r="C32" s="108">
        <v>36526</v>
      </c>
      <c r="D32" s="108"/>
      <c r="F32" s="108">
        <v>36526</v>
      </c>
      <c r="G32" s="108"/>
    </row>
    <row r="33" spans="1:16">
      <c r="D33" s="12"/>
      <c r="H33" s="7"/>
      <c r="I33" s="7"/>
    </row>
    <row r="34" spans="1:16">
      <c r="A34" s="106"/>
      <c r="B34" s="106"/>
      <c r="C34" s="106"/>
      <c r="D34" s="106"/>
      <c r="E34" s="106"/>
      <c r="F34" s="106"/>
      <c r="G34" s="106"/>
      <c r="H34" s="106"/>
      <c r="I34" s="106"/>
      <c r="P34" s="7"/>
    </row>
    <row r="35" spans="1:16">
      <c r="K35" s="7"/>
      <c r="L35" s="7"/>
      <c r="M35" s="7"/>
      <c r="N35" s="7"/>
      <c r="O35" s="7"/>
      <c r="P35" s="7"/>
    </row>
    <row r="47" spans="1:16">
      <c r="H47" s="7"/>
      <c r="I47" s="7"/>
    </row>
    <row r="48" spans="1:16">
      <c r="C48" s="7"/>
      <c r="D48" s="7"/>
      <c r="E48" s="7"/>
      <c r="F48" s="7"/>
      <c r="G48" s="7"/>
      <c r="H48" s="7"/>
      <c r="I48" s="7"/>
      <c r="P48" s="7"/>
    </row>
    <row r="49" spans="1:16">
      <c r="A49" s="112" t="s">
        <v>29</v>
      </c>
      <c r="B49" s="112"/>
      <c r="C49" s="112"/>
      <c r="D49" s="112"/>
      <c r="E49" s="112"/>
      <c r="F49" s="112"/>
      <c r="G49" s="112"/>
      <c r="H49" s="112"/>
      <c r="K49" s="7"/>
      <c r="L49" s="7"/>
      <c r="M49" s="7"/>
      <c r="N49" s="7"/>
      <c r="O49" s="7"/>
      <c r="P49" s="7"/>
    </row>
    <row r="50" spans="1:16" ht="10.5" customHeight="1">
      <c r="A50" s="9"/>
      <c r="I50" s="40"/>
      <c r="J50"/>
    </row>
    <row r="51" spans="1:16" ht="8.25" customHeight="1">
      <c r="C51" s="106"/>
      <c r="D51" s="106"/>
      <c r="E51" s="106"/>
      <c r="F51" s="106"/>
      <c r="G51" s="106"/>
    </row>
    <row r="64" spans="1:16">
      <c r="H64" s="7"/>
    </row>
    <row r="65" spans="3:16">
      <c r="C65" s="7"/>
      <c r="D65" s="7"/>
      <c r="E65" s="7"/>
      <c r="F65" s="7"/>
      <c r="G65" s="7"/>
      <c r="H65" s="7"/>
      <c r="I65" s="7"/>
    </row>
    <row r="66" spans="3:16">
      <c r="I66" s="7"/>
    </row>
    <row r="67" spans="3:16">
      <c r="P67" s="7"/>
    </row>
    <row r="68" spans="3:16">
      <c r="K68" s="7"/>
      <c r="L68" s="7"/>
      <c r="M68" s="7"/>
      <c r="N68" s="7"/>
      <c r="O68" s="7"/>
      <c r="P68" s="7"/>
    </row>
    <row r="78" spans="3:16">
      <c r="H78" s="7"/>
    </row>
    <row r="79" spans="3:16">
      <c r="C79" s="7"/>
      <c r="D79" s="7"/>
      <c r="E79" s="7"/>
      <c r="F79" s="7"/>
      <c r="G79" s="7"/>
      <c r="H79" s="7"/>
      <c r="I79" s="7"/>
    </row>
    <row r="80" spans="3:16">
      <c r="I80" s="7"/>
    </row>
    <row r="81" spans="3:16">
      <c r="P81" s="7"/>
    </row>
    <row r="82" spans="3:16">
      <c r="K82" s="7"/>
      <c r="L82" s="7"/>
      <c r="M82" s="7"/>
      <c r="N82" s="7"/>
      <c r="O82" s="7"/>
      <c r="P82" s="7"/>
    </row>
    <row r="91" spans="3:16">
      <c r="C91" s="10"/>
      <c r="D91" s="10"/>
      <c r="E91" s="10"/>
      <c r="F91" s="10"/>
      <c r="G91" s="10"/>
      <c r="H91" s="10"/>
      <c r="J91" s="11"/>
    </row>
    <row r="92" spans="3:16">
      <c r="I92" s="10"/>
    </row>
    <row r="94" spans="3:16">
      <c r="K94" s="10"/>
      <c r="L94" s="10"/>
      <c r="M94" s="10"/>
      <c r="N94" s="10"/>
      <c r="O94" s="10"/>
      <c r="P94" s="10"/>
    </row>
    <row r="114" spans="3:8">
      <c r="H114" s="18"/>
    </row>
    <row r="115" spans="3:8">
      <c r="C115" s="18"/>
      <c r="D115" s="18"/>
      <c r="E115" s="18"/>
      <c r="F115" s="18"/>
      <c r="G115" s="18"/>
      <c r="H115" s="18"/>
    </row>
    <row r="128" spans="3:8">
      <c r="H128" s="18"/>
    </row>
    <row r="129" spans="3:8">
      <c r="C129" s="18"/>
      <c r="D129" s="18"/>
      <c r="E129" s="18"/>
      <c r="F129" s="18"/>
      <c r="G129" s="18"/>
      <c r="H129" s="18"/>
    </row>
    <row r="141" spans="3:8">
      <c r="C141" s="10"/>
      <c r="D141" s="10"/>
      <c r="E141" s="10"/>
      <c r="F141" s="10"/>
      <c r="G141" s="10"/>
      <c r="H141" s="10"/>
    </row>
    <row r="164" spans="3:8">
      <c r="H164" s="18"/>
    </row>
    <row r="165" spans="3:8">
      <c r="C165" s="18"/>
      <c r="D165" s="18"/>
      <c r="E165" s="18"/>
      <c r="F165" s="18"/>
      <c r="G165" s="18"/>
      <c r="H165" s="18"/>
    </row>
    <row r="178" spans="3:8">
      <c r="H178" s="18"/>
    </row>
    <row r="179" spans="3:8">
      <c r="C179" s="18"/>
      <c r="D179" s="18"/>
      <c r="E179" s="18"/>
      <c r="F179" s="18"/>
      <c r="G179" s="18"/>
      <c r="H179" s="18"/>
    </row>
    <row r="191" spans="3:8">
      <c r="C191" s="10"/>
      <c r="D191" s="10"/>
      <c r="E191" s="10"/>
      <c r="F191" s="10"/>
      <c r="G191" s="10"/>
      <c r="H191" s="10"/>
    </row>
    <row r="214" spans="3:8">
      <c r="H214" s="18"/>
    </row>
    <row r="215" spans="3:8">
      <c r="C215" s="18"/>
      <c r="D215" s="18"/>
      <c r="E215" s="18"/>
      <c r="F215" s="18"/>
      <c r="G215" s="18"/>
      <c r="H215" s="18"/>
    </row>
    <row r="228" spans="3:8">
      <c r="H228" s="18"/>
    </row>
    <row r="229" spans="3:8">
      <c r="C229" s="18"/>
      <c r="D229" s="18"/>
      <c r="E229" s="18"/>
      <c r="F229" s="18"/>
      <c r="G229" s="18"/>
      <c r="H229" s="18"/>
    </row>
    <row r="241" spans="3:8">
      <c r="C241" s="10"/>
      <c r="D241" s="10"/>
      <c r="E241" s="10"/>
      <c r="F241" s="10"/>
      <c r="G241" s="10"/>
      <c r="H241" s="10"/>
    </row>
  </sheetData>
  <mergeCells count="27">
    <mergeCell ref="A3:I3"/>
    <mergeCell ref="A49:H49"/>
    <mergeCell ref="H12:I12"/>
    <mergeCell ref="C51:G51"/>
    <mergeCell ref="A10:I10"/>
    <mergeCell ref="C8:F8"/>
    <mergeCell ref="C6:I6"/>
    <mergeCell ref="C7:I7"/>
    <mergeCell ref="C9:I9"/>
    <mergeCell ref="B17:H17"/>
    <mergeCell ref="A5:I5"/>
    <mergeCell ref="A8:B8"/>
    <mergeCell ref="A7:B7"/>
    <mergeCell ref="A6:B6"/>
    <mergeCell ref="A11:I11"/>
    <mergeCell ref="A13:C13"/>
    <mergeCell ref="A9:B9"/>
    <mergeCell ref="H8:I8"/>
    <mergeCell ref="A12:C12"/>
    <mergeCell ref="D12:F12"/>
    <mergeCell ref="A34:I34"/>
    <mergeCell ref="D13:I13"/>
    <mergeCell ref="G14:H14"/>
    <mergeCell ref="C31:D31"/>
    <mergeCell ref="F31:G31"/>
    <mergeCell ref="C32:D32"/>
    <mergeCell ref="F32:G32"/>
  </mergeCells>
  <pageMargins left="0.25" right="0.25" top="0.75" bottom="0.75" header="0.3" footer="0.3"/>
  <pageSetup paperSize="9" orientation="portrait" r:id="rId1"/>
  <headerFooter>
    <oddHeader>&amp;L&amp;"Arial,Normal"&amp;7LABORATÓRIO DE LIBERAÇÃO
Presys Instrumentos e sistemas LTDA
Rua Luiz da Costa Ramos, 260 – São Paulo, 04157-020
Tel.: (11) 3056-1900/ Ramal Liberação: 147&amp;"-,Regular"&amp;11
&amp;C&amp;G&amp;R&amp;D</oddHeader>
    <oddFooter>&amp;C&amp;P</oddFooter>
  </headerFooter>
  <ignoredErrors>
    <ignoredError sqref="C21:C27" formulaRange="1"/>
  </ignoredError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dados</vt:lpstr>
      <vt:lpstr>Data Management</vt:lpstr>
      <vt:lpstr>Plan1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LIBERAÇÃO</dc:creator>
  <cp:lastModifiedBy>liberacaop1</cp:lastModifiedBy>
  <cp:lastPrinted>2020-11-27T22:15:08Z</cp:lastPrinted>
  <dcterms:created xsi:type="dcterms:W3CDTF">2020-10-23T17:04:15Z</dcterms:created>
  <dcterms:modified xsi:type="dcterms:W3CDTF">2021-01-11T16:36:54Z</dcterms:modified>
</cp:coreProperties>
</file>